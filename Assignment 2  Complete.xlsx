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pivotTables/pivotTable9.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166925"/>
  <mc:AlternateContent xmlns:mc="http://schemas.openxmlformats.org/markup-compatibility/2006">
    <mc:Choice Requires="x15">
      <x15ac:absPath xmlns:x15ac="http://schemas.microsoft.com/office/spreadsheetml/2010/11/ac" url="C:\Users\user1\Desktop\Data_Science\"/>
    </mc:Choice>
  </mc:AlternateContent>
  <xr:revisionPtr revIDLastSave="0" documentId="13_ncr:1_{FFC5912E-318F-4747-867C-20B3151776FC}" xr6:coauthVersionLast="47" xr6:coauthVersionMax="47" xr10:uidLastSave="{00000000-0000-0000-0000-000000000000}"/>
  <bookViews>
    <workbookView xWindow="-110" yWindow="-110" windowWidth="19420" windowHeight="11020" xr2:uid="{4811239B-1B8E-4935-88BD-A5A67C2F35E6}"/>
  </bookViews>
  <sheets>
    <sheet name="Dashboard" sheetId="10" r:id="rId1"/>
    <sheet name="Top Products By Rating" sheetId="11" r:id="rId2"/>
    <sheet name="Top Product By Reviews" sheetId="19" r:id="rId3"/>
    <sheet name="Top Product By Discount" sheetId="20" r:id="rId4"/>
    <sheet name="Reviews By Discount" sheetId="21" r:id="rId5"/>
    <sheet name="Number of Revie By Rating" sheetId="22" r:id="rId6"/>
    <sheet name="Number of Products By Rating" sheetId="23" r:id="rId7"/>
    <sheet name="Product Count By discount Categ" sheetId="24" r:id="rId8"/>
    <sheet name="Price Category" sheetId="25" r:id="rId9"/>
    <sheet name="Data Clean" sheetId="17" r:id="rId10"/>
    <sheet name="Assignment 2" sheetId="1" r:id="rId11"/>
    <sheet name="Customer Engagement by DL" sheetId="7" r:id="rId12"/>
    <sheet name="Rating By Review" sheetId="8" r:id="rId13"/>
    <sheet name="High and Low Discount Products" sheetId="9" r:id="rId14"/>
    <sheet name="Reviews Per Discount %" sheetId="4" r:id="rId15"/>
    <sheet name="Product Distribution Across ctg" sheetId="3" r:id="rId16"/>
    <sheet name="Average Rating&amp;Discount By DC" sheetId="2" r:id="rId17"/>
    <sheet name="No. of Reviews By rating" sheetId="5" r:id="rId18"/>
  </sheets>
  <definedNames>
    <definedName name="_xlnm._FilterDatabase" localSheetId="10" hidden="1">'Assignment 2'!$A$1:$A$116</definedName>
    <definedName name="_xlnm._FilterDatabase" localSheetId="9" hidden="1">'Data Clean'!$A$1:$A$113</definedName>
    <definedName name="Slicer_Current_price">#N/A</definedName>
    <definedName name="Slicer_DISCOUNT_CATEGORY">#N/A</definedName>
    <definedName name="Slicer_Rating_Category">#N/A</definedName>
  </definedNames>
  <calcPr calcId="191029"/>
  <pivotCaches>
    <pivotCache cacheId="0" r:id="rId19"/>
    <pivotCache cacheId="1" r:id="rId20"/>
    <pivotCache cacheId="20" r:id="rId21"/>
  </pivotCaches>
  <extLs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3" i="1" l="1"/>
  <c r="H113" i="1"/>
  <c r="E113" i="1"/>
  <c r="D113" i="1"/>
  <c r="I112" i="1"/>
  <c r="H112" i="1"/>
  <c r="E112" i="1"/>
  <c r="D112" i="1"/>
  <c r="I111" i="1"/>
  <c r="H111" i="1"/>
  <c r="E111" i="1"/>
  <c r="D111" i="1"/>
  <c r="I110" i="1"/>
  <c r="H110" i="1"/>
  <c r="E110" i="1"/>
  <c r="D110" i="1"/>
  <c r="I109" i="1"/>
  <c r="H109" i="1"/>
  <c r="E109" i="1"/>
  <c r="D109" i="1"/>
  <c r="I108" i="1"/>
  <c r="H108" i="1"/>
  <c r="E108" i="1"/>
  <c r="D108" i="1"/>
  <c r="I107" i="1"/>
  <c r="H107" i="1"/>
  <c r="E107" i="1"/>
  <c r="D107" i="1"/>
  <c r="I106" i="1"/>
  <c r="H106" i="1"/>
  <c r="E106" i="1"/>
  <c r="D106" i="1"/>
  <c r="I105" i="1"/>
  <c r="H105" i="1"/>
  <c r="E105" i="1"/>
  <c r="D105" i="1"/>
  <c r="I104" i="1"/>
  <c r="H104" i="1"/>
  <c r="E104" i="1"/>
  <c r="D104" i="1"/>
  <c r="I103" i="1"/>
  <c r="H103" i="1"/>
  <c r="E103" i="1"/>
  <c r="D103" i="1"/>
  <c r="I102" i="1"/>
  <c r="H102" i="1"/>
  <c r="E102" i="1"/>
  <c r="D102" i="1"/>
  <c r="I101" i="1"/>
  <c r="H101" i="1"/>
  <c r="E101" i="1"/>
  <c r="D101" i="1"/>
  <c r="I100" i="1"/>
  <c r="H100" i="1"/>
  <c r="E100" i="1"/>
  <c r="D100" i="1"/>
  <c r="I99" i="1"/>
  <c r="H99" i="1"/>
  <c r="E99" i="1"/>
  <c r="D99" i="1"/>
  <c r="I98" i="1"/>
  <c r="H98" i="1"/>
  <c r="E98" i="1"/>
  <c r="D98" i="1"/>
  <c r="I97" i="1"/>
  <c r="H97" i="1"/>
  <c r="E97" i="1"/>
  <c r="D97" i="1"/>
  <c r="I96" i="1"/>
  <c r="H96" i="1"/>
  <c r="E96" i="1"/>
  <c r="D96" i="1"/>
  <c r="I95" i="1"/>
  <c r="H95" i="1"/>
  <c r="E95" i="1"/>
  <c r="D95" i="1"/>
  <c r="I94" i="1"/>
  <c r="H94" i="1"/>
  <c r="E94" i="1"/>
  <c r="D94" i="1"/>
  <c r="I93" i="1"/>
  <c r="H93" i="1"/>
  <c r="E93" i="1"/>
  <c r="D93" i="1"/>
  <c r="I92" i="1"/>
  <c r="H92" i="1"/>
  <c r="E92" i="1"/>
  <c r="D92" i="1"/>
  <c r="I91" i="1"/>
  <c r="H91" i="1"/>
  <c r="E91" i="1"/>
  <c r="D91" i="1"/>
  <c r="I90" i="1"/>
  <c r="H90" i="1"/>
  <c r="E90" i="1"/>
  <c r="D90" i="1"/>
  <c r="I89" i="1"/>
  <c r="H89" i="1"/>
  <c r="E89" i="1"/>
  <c r="D89" i="1"/>
  <c r="I88" i="1"/>
  <c r="H88" i="1"/>
  <c r="E88" i="1"/>
  <c r="D88" i="1"/>
  <c r="I87" i="1"/>
  <c r="H87" i="1"/>
  <c r="E87" i="1"/>
  <c r="D87" i="1"/>
  <c r="I86" i="1"/>
  <c r="H86" i="1"/>
  <c r="E86" i="1"/>
  <c r="D86" i="1"/>
  <c r="I85" i="1"/>
  <c r="H85" i="1"/>
  <c r="E85" i="1"/>
  <c r="D85" i="1"/>
  <c r="I84" i="1"/>
  <c r="H84" i="1"/>
  <c r="E84" i="1"/>
  <c r="D84" i="1"/>
  <c r="I83" i="1"/>
  <c r="H83" i="1"/>
  <c r="E83" i="1"/>
  <c r="D83" i="1"/>
  <c r="I82" i="1"/>
  <c r="H82" i="1"/>
  <c r="E82" i="1"/>
  <c r="D82" i="1"/>
  <c r="I81" i="1"/>
  <c r="H81" i="1"/>
  <c r="E81" i="1"/>
  <c r="D81" i="1"/>
  <c r="I80" i="1"/>
  <c r="H80" i="1"/>
  <c r="E80" i="1"/>
  <c r="D80" i="1"/>
  <c r="I79" i="1"/>
  <c r="H79" i="1"/>
  <c r="E79" i="1"/>
  <c r="D79" i="1"/>
  <c r="I78" i="1"/>
  <c r="H78" i="1"/>
  <c r="E78" i="1"/>
  <c r="D78" i="1"/>
  <c r="I77" i="1"/>
  <c r="H77" i="1"/>
  <c r="E77" i="1"/>
  <c r="D77" i="1"/>
  <c r="I76" i="1"/>
  <c r="H76" i="1"/>
  <c r="E76" i="1"/>
  <c r="D76" i="1"/>
  <c r="I75" i="1"/>
  <c r="H75" i="1"/>
  <c r="E75" i="1"/>
  <c r="D75" i="1"/>
  <c r="I74" i="1"/>
  <c r="H74" i="1"/>
  <c r="E74" i="1"/>
  <c r="D74" i="1"/>
  <c r="I73" i="1"/>
  <c r="H73" i="1"/>
  <c r="E73" i="1"/>
  <c r="D73" i="1"/>
  <c r="I72" i="1"/>
  <c r="H72" i="1"/>
  <c r="E72" i="1"/>
  <c r="D72" i="1"/>
  <c r="I71" i="1"/>
  <c r="H71" i="1"/>
  <c r="E71" i="1"/>
  <c r="D71" i="1"/>
  <c r="I70" i="1"/>
  <c r="H70" i="1"/>
  <c r="E70" i="1"/>
  <c r="D70" i="1"/>
  <c r="I69" i="1"/>
  <c r="H69" i="1"/>
  <c r="E69" i="1"/>
  <c r="D69" i="1"/>
  <c r="I68" i="1"/>
  <c r="H68" i="1"/>
  <c r="E68" i="1"/>
  <c r="D68" i="1"/>
  <c r="I67" i="1"/>
  <c r="H67" i="1"/>
  <c r="E67" i="1"/>
  <c r="D67" i="1"/>
  <c r="I66" i="1"/>
  <c r="H66" i="1"/>
  <c r="E66" i="1"/>
  <c r="D66" i="1"/>
  <c r="I65" i="1"/>
  <c r="H65" i="1"/>
  <c r="E65" i="1"/>
  <c r="D65" i="1"/>
  <c r="I64" i="1"/>
  <c r="H64" i="1"/>
  <c r="E64" i="1"/>
  <c r="D64" i="1"/>
  <c r="I63" i="1"/>
  <c r="H63" i="1"/>
  <c r="E63" i="1"/>
  <c r="D63" i="1"/>
  <c r="I62" i="1"/>
  <c r="H62" i="1"/>
  <c r="E62" i="1"/>
  <c r="D62" i="1"/>
  <c r="I61" i="1"/>
  <c r="H61" i="1"/>
  <c r="E61" i="1"/>
  <c r="D61" i="1"/>
  <c r="I60" i="1"/>
  <c r="H60" i="1"/>
  <c r="E60" i="1"/>
  <c r="D60" i="1"/>
  <c r="I59" i="1"/>
  <c r="H59" i="1"/>
  <c r="E59" i="1"/>
  <c r="D59" i="1"/>
  <c r="I58" i="1"/>
  <c r="H58" i="1"/>
  <c r="E58" i="1"/>
  <c r="D58" i="1"/>
  <c r="I57" i="1"/>
  <c r="H57" i="1"/>
  <c r="E57" i="1"/>
  <c r="D57" i="1"/>
  <c r="I56" i="1"/>
  <c r="H56" i="1"/>
  <c r="E56" i="1"/>
  <c r="D56" i="1"/>
  <c r="I55" i="1"/>
  <c r="H55" i="1"/>
  <c r="E55" i="1"/>
  <c r="D55" i="1"/>
  <c r="I54" i="1"/>
  <c r="H54" i="1"/>
  <c r="E54" i="1"/>
  <c r="D54" i="1"/>
  <c r="I53" i="1"/>
  <c r="H53" i="1"/>
  <c r="E53" i="1"/>
  <c r="D53" i="1"/>
  <c r="I52" i="1"/>
  <c r="H52" i="1"/>
  <c r="E52" i="1"/>
  <c r="D52" i="1"/>
  <c r="I51" i="1"/>
  <c r="H51" i="1"/>
  <c r="E51" i="1"/>
  <c r="D51" i="1"/>
  <c r="I50" i="1"/>
  <c r="H50" i="1"/>
  <c r="E50" i="1"/>
  <c r="D50" i="1"/>
  <c r="I49" i="1"/>
  <c r="H49" i="1"/>
  <c r="E49" i="1"/>
  <c r="D49" i="1"/>
  <c r="I48" i="1"/>
  <c r="H48" i="1"/>
  <c r="E48" i="1"/>
  <c r="D48" i="1"/>
  <c r="I47" i="1"/>
  <c r="H47" i="1"/>
  <c r="E47" i="1"/>
  <c r="D47" i="1"/>
  <c r="I46" i="1"/>
  <c r="H46" i="1"/>
  <c r="E46" i="1"/>
  <c r="D46" i="1"/>
  <c r="I45" i="1"/>
  <c r="H45" i="1"/>
  <c r="E45" i="1"/>
  <c r="D45" i="1"/>
  <c r="I44" i="1"/>
  <c r="H44" i="1"/>
  <c r="E44" i="1"/>
  <c r="D44" i="1"/>
  <c r="I43" i="1"/>
  <c r="H43" i="1"/>
  <c r="E43" i="1"/>
  <c r="D43" i="1"/>
  <c r="I42" i="1"/>
  <c r="H42" i="1"/>
  <c r="E42" i="1"/>
  <c r="D42" i="1"/>
  <c r="I41" i="1"/>
  <c r="H41" i="1"/>
  <c r="E41" i="1"/>
  <c r="D41" i="1"/>
  <c r="I40" i="1"/>
  <c r="H40" i="1"/>
  <c r="E40" i="1"/>
  <c r="D40" i="1"/>
  <c r="I39" i="1"/>
  <c r="H39" i="1"/>
  <c r="E39" i="1"/>
  <c r="D39" i="1"/>
  <c r="I38" i="1"/>
  <c r="H38" i="1"/>
  <c r="E38" i="1"/>
  <c r="D38" i="1"/>
  <c r="I37" i="1"/>
  <c r="H37" i="1"/>
  <c r="E37" i="1"/>
  <c r="D37" i="1"/>
  <c r="I36" i="1"/>
  <c r="H36" i="1"/>
  <c r="E36" i="1"/>
  <c r="D36" i="1"/>
  <c r="I35" i="1"/>
  <c r="H35" i="1"/>
  <c r="E35" i="1"/>
  <c r="D35" i="1"/>
  <c r="I34" i="1"/>
  <c r="H34" i="1"/>
  <c r="E34" i="1"/>
  <c r="D34" i="1"/>
  <c r="I33" i="1"/>
  <c r="H33" i="1"/>
  <c r="E33" i="1"/>
  <c r="D33" i="1"/>
  <c r="I32" i="1"/>
  <c r="H32" i="1"/>
  <c r="E32" i="1"/>
  <c r="D32" i="1"/>
  <c r="I31" i="1"/>
  <c r="H31" i="1"/>
  <c r="E31" i="1"/>
  <c r="D31" i="1"/>
  <c r="I30" i="1"/>
  <c r="H30" i="1"/>
  <c r="E30" i="1"/>
  <c r="D30" i="1"/>
  <c r="I29" i="1"/>
  <c r="H29" i="1"/>
  <c r="E29" i="1"/>
  <c r="D29" i="1"/>
  <c r="I28" i="1"/>
  <c r="H28" i="1"/>
  <c r="E28" i="1"/>
  <c r="D28" i="1"/>
  <c r="I27" i="1"/>
  <c r="H27" i="1"/>
  <c r="E27" i="1"/>
  <c r="D27" i="1"/>
  <c r="I26" i="1"/>
  <c r="H26" i="1"/>
  <c r="E26" i="1"/>
  <c r="D26" i="1"/>
  <c r="I25" i="1"/>
  <c r="H25" i="1"/>
  <c r="E25" i="1"/>
  <c r="D25" i="1"/>
  <c r="I24" i="1"/>
  <c r="H24" i="1"/>
  <c r="E24" i="1"/>
  <c r="D24" i="1"/>
  <c r="I23" i="1"/>
  <c r="H23" i="1"/>
  <c r="E23" i="1"/>
  <c r="D23" i="1"/>
  <c r="I22" i="1"/>
  <c r="H22" i="1"/>
  <c r="E22" i="1"/>
  <c r="D22" i="1"/>
  <c r="I21" i="1"/>
  <c r="H21" i="1"/>
  <c r="E21" i="1"/>
  <c r="D21" i="1"/>
  <c r="I20" i="1"/>
  <c r="H20" i="1"/>
  <c r="E20" i="1"/>
  <c r="D20" i="1"/>
  <c r="I19" i="1"/>
  <c r="H19" i="1"/>
  <c r="E19" i="1"/>
  <c r="D19" i="1"/>
  <c r="I18" i="1"/>
  <c r="H18" i="1"/>
  <c r="E18" i="1"/>
  <c r="D18" i="1"/>
  <c r="I17" i="1"/>
  <c r="H17" i="1"/>
  <c r="E17" i="1"/>
  <c r="D17" i="1"/>
  <c r="I16" i="1"/>
  <c r="H16" i="1"/>
  <c r="E16" i="1"/>
  <c r="D16" i="1"/>
  <c r="I15" i="1"/>
  <c r="H15" i="1"/>
  <c r="E15" i="1"/>
  <c r="D15" i="1"/>
  <c r="I14" i="1"/>
  <c r="H14" i="1"/>
  <c r="E14" i="1"/>
  <c r="D14" i="1"/>
  <c r="I13" i="1"/>
  <c r="H13" i="1"/>
  <c r="E13" i="1"/>
  <c r="D13" i="1"/>
  <c r="I12" i="1"/>
  <c r="H12" i="1"/>
  <c r="E12" i="1"/>
  <c r="D12" i="1"/>
  <c r="I11" i="1"/>
  <c r="H11" i="1"/>
  <c r="E11" i="1"/>
  <c r="D11" i="1"/>
  <c r="I10" i="1"/>
  <c r="H10" i="1"/>
  <c r="E10" i="1"/>
  <c r="D10" i="1"/>
  <c r="I9" i="1"/>
  <c r="H9" i="1"/>
  <c r="E9" i="1"/>
  <c r="D9" i="1"/>
  <c r="I8" i="1"/>
  <c r="H8" i="1"/>
  <c r="E8" i="1"/>
  <c r="D8" i="1"/>
  <c r="I7" i="1"/>
  <c r="H7" i="1"/>
  <c r="E7" i="1"/>
  <c r="D7" i="1"/>
  <c r="O6" i="1"/>
  <c r="N6" i="1"/>
  <c r="M6" i="1"/>
  <c r="L6" i="1"/>
  <c r="I6" i="1"/>
  <c r="H6" i="1"/>
  <c r="E6" i="1"/>
  <c r="D6" i="1"/>
  <c r="I5" i="1"/>
  <c r="H5" i="1"/>
  <c r="E5" i="1"/>
  <c r="D5" i="1"/>
  <c r="I4" i="1"/>
  <c r="H4" i="1"/>
  <c r="E4" i="1"/>
  <c r="D4" i="1"/>
  <c r="I3" i="1"/>
  <c r="H3" i="1"/>
  <c r="E3" i="1"/>
  <c r="D3" i="1"/>
  <c r="I2" i="1"/>
  <c r="H2" i="1"/>
  <c r="E2" i="1"/>
  <c r="D2" i="1"/>
  <c r="I113" i="17"/>
  <c r="H113" i="17"/>
  <c r="E113" i="17"/>
  <c r="D113" i="17"/>
  <c r="I112" i="17"/>
  <c r="H112" i="17"/>
  <c r="E112" i="17"/>
  <c r="D112" i="17"/>
  <c r="I111" i="17"/>
  <c r="H111" i="17"/>
  <c r="E111" i="17"/>
  <c r="D111" i="17"/>
  <c r="I110" i="17"/>
  <c r="H110" i="17"/>
  <c r="E110" i="17"/>
  <c r="D110" i="17"/>
  <c r="I109" i="17"/>
  <c r="H109" i="17"/>
  <c r="E109" i="17"/>
  <c r="D109" i="17"/>
  <c r="I108" i="17"/>
  <c r="H108" i="17"/>
  <c r="E108" i="17"/>
  <c r="D108" i="17"/>
  <c r="I107" i="17"/>
  <c r="H107" i="17"/>
  <c r="E107" i="17"/>
  <c r="D107" i="17"/>
  <c r="I106" i="17"/>
  <c r="H106" i="17"/>
  <c r="E106" i="17"/>
  <c r="D106" i="17"/>
  <c r="I105" i="17"/>
  <c r="H105" i="17"/>
  <c r="E105" i="17"/>
  <c r="D105" i="17"/>
  <c r="I104" i="17"/>
  <c r="H104" i="17"/>
  <c r="E104" i="17"/>
  <c r="D104" i="17"/>
  <c r="I103" i="17"/>
  <c r="H103" i="17"/>
  <c r="E103" i="17"/>
  <c r="D103" i="17"/>
  <c r="I102" i="17"/>
  <c r="H102" i="17"/>
  <c r="E102" i="17"/>
  <c r="D102" i="17"/>
  <c r="I101" i="17"/>
  <c r="H101" i="17"/>
  <c r="E101" i="17"/>
  <c r="D101" i="17"/>
  <c r="I100" i="17"/>
  <c r="H100" i="17"/>
  <c r="E100" i="17"/>
  <c r="D100" i="17"/>
  <c r="I99" i="17"/>
  <c r="H99" i="17"/>
  <c r="E99" i="17"/>
  <c r="D99" i="17"/>
  <c r="I98" i="17"/>
  <c r="H98" i="17"/>
  <c r="E98" i="17"/>
  <c r="D98" i="17"/>
  <c r="I97" i="17"/>
  <c r="H97" i="17"/>
  <c r="E97" i="17"/>
  <c r="D97" i="17"/>
  <c r="I96" i="17"/>
  <c r="H96" i="17"/>
  <c r="E96" i="17"/>
  <c r="D96" i="17"/>
  <c r="I95" i="17"/>
  <c r="H95" i="17"/>
  <c r="E95" i="17"/>
  <c r="D95" i="17"/>
  <c r="I94" i="17"/>
  <c r="H94" i="17"/>
  <c r="E94" i="17"/>
  <c r="D94" i="17"/>
  <c r="I93" i="17"/>
  <c r="H93" i="17"/>
  <c r="E93" i="17"/>
  <c r="D93" i="17"/>
  <c r="I92" i="17"/>
  <c r="H92" i="17"/>
  <c r="E92" i="17"/>
  <c r="D92" i="17"/>
  <c r="I91" i="17"/>
  <c r="H91" i="17"/>
  <c r="E91" i="17"/>
  <c r="D91" i="17"/>
  <c r="I90" i="17"/>
  <c r="H90" i="17"/>
  <c r="E90" i="17"/>
  <c r="D90" i="17"/>
  <c r="I89" i="17"/>
  <c r="H89" i="17"/>
  <c r="E89" i="17"/>
  <c r="D89" i="17"/>
  <c r="I88" i="17"/>
  <c r="H88" i="17"/>
  <c r="E88" i="17"/>
  <c r="D88" i="17"/>
  <c r="I87" i="17"/>
  <c r="H87" i="17"/>
  <c r="E87" i="17"/>
  <c r="D87" i="17"/>
  <c r="I86" i="17"/>
  <c r="H86" i="17"/>
  <c r="E86" i="17"/>
  <c r="D86" i="17"/>
  <c r="I85" i="17"/>
  <c r="H85" i="17"/>
  <c r="E85" i="17"/>
  <c r="D85" i="17"/>
  <c r="I84" i="17"/>
  <c r="H84" i="17"/>
  <c r="E84" i="17"/>
  <c r="D84" i="17"/>
  <c r="I83" i="17"/>
  <c r="H83" i="17"/>
  <c r="E83" i="17"/>
  <c r="D83" i="17"/>
  <c r="I82" i="17"/>
  <c r="H82" i="17"/>
  <c r="E82" i="17"/>
  <c r="D82" i="17"/>
  <c r="I81" i="17"/>
  <c r="H81" i="17"/>
  <c r="E81" i="17"/>
  <c r="D81" i="17"/>
  <c r="I80" i="17"/>
  <c r="H80" i="17"/>
  <c r="E80" i="17"/>
  <c r="D80" i="17"/>
  <c r="I79" i="17"/>
  <c r="H79" i="17"/>
  <c r="E79" i="17"/>
  <c r="D79" i="17"/>
  <c r="I78" i="17"/>
  <c r="H78" i="17"/>
  <c r="E78" i="17"/>
  <c r="D78" i="17"/>
  <c r="I77" i="17"/>
  <c r="H77" i="17"/>
  <c r="E77" i="17"/>
  <c r="D77" i="17"/>
  <c r="I76" i="17"/>
  <c r="H76" i="17"/>
  <c r="E76" i="17"/>
  <c r="D76" i="17"/>
  <c r="I75" i="17"/>
  <c r="H75" i="17"/>
  <c r="E75" i="17"/>
  <c r="D75" i="17"/>
  <c r="I74" i="17"/>
  <c r="H74" i="17"/>
  <c r="E74" i="17"/>
  <c r="D74" i="17"/>
  <c r="I73" i="17"/>
  <c r="H73" i="17"/>
  <c r="E73" i="17"/>
  <c r="D73" i="17"/>
  <c r="I72" i="17"/>
  <c r="H72" i="17"/>
  <c r="E72" i="17"/>
  <c r="D72" i="17"/>
  <c r="I71" i="17"/>
  <c r="H71" i="17"/>
  <c r="E71" i="17"/>
  <c r="D71" i="17"/>
  <c r="I70" i="17"/>
  <c r="H70" i="17"/>
  <c r="E70" i="17"/>
  <c r="D70" i="17"/>
  <c r="I69" i="17"/>
  <c r="H69" i="17"/>
  <c r="E69" i="17"/>
  <c r="D69" i="17"/>
  <c r="I68" i="17"/>
  <c r="H68" i="17"/>
  <c r="E68" i="17"/>
  <c r="D68" i="17"/>
  <c r="I67" i="17"/>
  <c r="H67" i="17"/>
  <c r="E67" i="17"/>
  <c r="D67" i="17"/>
  <c r="I66" i="17"/>
  <c r="H66" i="17"/>
  <c r="E66" i="17"/>
  <c r="D66" i="17"/>
  <c r="I65" i="17"/>
  <c r="H65" i="17"/>
  <c r="E65" i="17"/>
  <c r="D65" i="17"/>
  <c r="I64" i="17"/>
  <c r="H64" i="17"/>
  <c r="E64" i="17"/>
  <c r="D64" i="17"/>
  <c r="I63" i="17"/>
  <c r="H63" i="17"/>
  <c r="E63" i="17"/>
  <c r="D63" i="17"/>
  <c r="I62" i="17"/>
  <c r="H62" i="17"/>
  <c r="E62" i="17"/>
  <c r="D62" i="17"/>
  <c r="I61" i="17"/>
  <c r="H61" i="17"/>
  <c r="E61" i="17"/>
  <c r="D61" i="17"/>
  <c r="I60" i="17"/>
  <c r="H60" i="17"/>
  <c r="E60" i="17"/>
  <c r="D60" i="17"/>
  <c r="I59" i="17"/>
  <c r="H59" i="17"/>
  <c r="E59" i="17"/>
  <c r="D59" i="17"/>
  <c r="I58" i="17"/>
  <c r="H58" i="17"/>
  <c r="E58" i="17"/>
  <c r="D58" i="17"/>
  <c r="I57" i="17"/>
  <c r="H57" i="17"/>
  <c r="E57" i="17"/>
  <c r="D57" i="17"/>
  <c r="I56" i="17"/>
  <c r="H56" i="17"/>
  <c r="E56" i="17"/>
  <c r="D56" i="17"/>
  <c r="I55" i="17"/>
  <c r="H55" i="17"/>
  <c r="E55" i="17"/>
  <c r="D55" i="17"/>
  <c r="I54" i="17"/>
  <c r="H54" i="17"/>
  <c r="E54" i="17"/>
  <c r="D54" i="17"/>
  <c r="I53" i="17"/>
  <c r="H53" i="17"/>
  <c r="E53" i="17"/>
  <c r="D53" i="17"/>
  <c r="I52" i="17"/>
  <c r="H52" i="17"/>
  <c r="E52" i="17"/>
  <c r="D52" i="17"/>
  <c r="I51" i="17"/>
  <c r="H51" i="17"/>
  <c r="E51" i="17"/>
  <c r="D51" i="17"/>
  <c r="I50" i="17"/>
  <c r="H50" i="17"/>
  <c r="E50" i="17"/>
  <c r="D50" i="17"/>
  <c r="I49" i="17"/>
  <c r="H49" i="17"/>
  <c r="E49" i="17"/>
  <c r="D49" i="17"/>
  <c r="I48" i="17"/>
  <c r="H48" i="17"/>
  <c r="E48" i="17"/>
  <c r="D48" i="17"/>
  <c r="I47" i="17"/>
  <c r="H47" i="17"/>
  <c r="E47" i="17"/>
  <c r="D47" i="17"/>
  <c r="I46" i="17"/>
  <c r="H46" i="17"/>
  <c r="E46" i="17"/>
  <c r="D46" i="17"/>
  <c r="I45" i="17"/>
  <c r="H45" i="17"/>
  <c r="E45" i="17"/>
  <c r="D45" i="17"/>
  <c r="I44" i="17"/>
  <c r="H44" i="17"/>
  <c r="E44" i="17"/>
  <c r="D44" i="17"/>
  <c r="I43" i="17"/>
  <c r="H43" i="17"/>
  <c r="E43" i="17"/>
  <c r="D43" i="17"/>
  <c r="I42" i="17"/>
  <c r="H42" i="17"/>
  <c r="E42" i="17"/>
  <c r="D42" i="17"/>
  <c r="I41" i="17"/>
  <c r="H41" i="17"/>
  <c r="E41" i="17"/>
  <c r="D41" i="17"/>
  <c r="I40" i="17"/>
  <c r="H40" i="17"/>
  <c r="E40" i="17"/>
  <c r="D40" i="17"/>
  <c r="I39" i="17"/>
  <c r="H39" i="17"/>
  <c r="E39" i="17"/>
  <c r="D39" i="17"/>
  <c r="I38" i="17"/>
  <c r="H38" i="17"/>
  <c r="E38" i="17"/>
  <c r="D38" i="17"/>
  <c r="I37" i="17"/>
  <c r="H37" i="17"/>
  <c r="E37" i="17"/>
  <c r="D37" i="17"/>
  <c r="I36" i="17"/>
  <c r="H36" i="17"/>
  <c r="E36" i="17"/>
  <c r="D36" i="17"/>
  <c r="I35" i="17"/>
  <c r="H35" i="17"/>
  <c r="E35" i="17"/>
  <c r="D35" i="17"/>
  <c r="I34" i="17"/>
  <c r="H34" i="17"/>
  <c r="E34" i="17"/>
  <c r="D34" i="17"/>
  <c r="I33" i="17"/>
  <c r="H33" i="17"/>
  <c r="E33" i="17"/>
  <c r="D33" i="17"/>
  <c r="I32" i="17"/>
  <c r="H32" i="17"/>
  <c r="E32" i="17"/>
  <c r="D32" i="17"/>
  <c r="I31" i="17"/>
  <c r="H31" i="17"/>
  <c r="E31" i="17"/>
  <c r="D31" i="17"/>
  <c r="I30" i="17"/>
  <c r="H30" i="17"/>
  <c r="E30" i="17"/>
  <c r="D30" i="17"/>
  <c r="I29" i="17"/>
  <c r="H29" i="17"/>
  <c r="E29" i="17"/>
  <c r="D29" i="17"/>
  <c r="I28" i="17"/>
  <c r="H28" i="17"/>
  <c r="E28" i="17"/>
  <c r="D28" i="17"/>
  <c r="I27" i="17"/>
  <c r="H27" i="17"/>
  <c r="E27" i="17"/>
  <c r="D27" i="17"/>
  <c r="I26" i="17"/>
  <c r="H26" i="17"/>
  <c r="E26" i="17"/>
  <c r="D26" i="17"/>
  <c r="I25" i="17"/>
  <c r="H25" i="17"/>
  <c r="E25" i="17"/>
  <c r="D25" i="17"/>
  <c r="I24" i="17"/>
  <c r="H24" i="17"/>
  <c r="E24" i="17"/>
  <c r="D24" i="17"/>
  <c r="I23" i="17"/>
  <c r="H23" i="17"/>
  <c r="E23" i="17"/>
  <c r="D23" i="17"/>
  <c r="I22" i="17"/>
  <c r="H22" i="17"/>
  <c r="E22" i="17"/>
  <c r="D22" i="17"/>
  <c r="I21" i="17"/>
  <c r="H21" i="17"/>
  <c r="E21" i="17"/>
  <c r="D21" i="17"/>
  <c r="I20" i="17"/>
  <c r="H20" i="17"/>
  <c r="E20" i="17"/>
  <c r="D20" i="17"/>
  <c r="I19" i="17"/>
  <c r="H19" i="17"/>
  <c r="E19" i="17"/>
  <c r="D19" i="17"/>
  <c r="I18" i="17"/>
  <c r="H18" i="17"/>
  <c r="E18" i="17"/>
  <c r="D18" i="17"/>
  <c r="I17" i="17"/>
  <c r="H17" i="17"/>
  <c r="E17" i="17"/>
  <c r="D17" i="17"/>
  <c r="I16" i="17"/>
  <c r="H16" i="17"/>
  <c r="E16" i="17"/>
  <c r="D16" i="17"/>
  <c r="I15" i="17"/>
  <c r="H15" i="17"/>
  <c r="E15" i="17"/>
  <c r="D15" i="17"/>
  <c r="I14" i="17"/>
  <c r="H14" i="17"/>
  <c r="E14" i="17"/>
  <c r="D14" i="17"/>
  <c r="I13" i="17"/>
  <c r="H13" i="17"/>
  <c r="E13" i="17"/>
  <c r="D13" i="17"/>
  <c r="I12" i="17"/>
  <c r="H12" i="17"/>
  <c r="E12" i="17"/>
  <c r="D12" i="17"/>
  <c r="I11" i="17"/>
  <c r="H11" i="17"/>
  <c r="E11" i="17"/>
  <c r="D11" i="17"/>
  <c r="I10" i="17"/>
  <c r="H10" i="17"/>
  <c r="E10" i="17"/>
  <c r="D10" i="17"/>
  <c r="I9" i="17"/>
  <c r="H9" i="17"/>
  <c r="E9" i="17"/>
  <c r="D9" i="17"/>
  <c r="I8" i="17"/>
  <c r="H8" i="17"/>
  <c r="E8" i="17"/>
  <c r="D8" i="17"/>
  <c r="I7" i="17"/>
  <c r="H7" i="17"/>
  <c r="E7" i="17"/>
  <c r="D7" i="17"/>
  <c r="I6" i="17"/>
  <c r="H6" i="17"/>
  <c r="E6" i="17"/>
  <c r="D6" i="17"/>
  <c r="I5" i="17"/>
  <c r="H5" i="17"/>
  <c r="E5" i="17"/>
  <c r="D5" i="17"/>
  <c r="I4" i="17"/>
  <c r="H4" i="17"/>
  <c r="E4" i="17"/>
  <c r="D4" i="17"/>
  <c r="I3" i="17"/>
  <c r="H3" i="17"/>
  <c r="E3" i="17"/>
  <c r="D3" i="17"/>
  <c r="I2" i="17"/>
  <c r="H2" i="17"/>
  <c r="E2" i="17"/>
  <c r="D2" i="17"/>
</calcChain>
</file>

<file path=xl/sharedStrings.xml><?xml version="1.0" encoding="utf-8"?>
<sst xmlns="http://schemas.openxmlformats.org/spreadsheetml/2006/main" count="468" uniqueCount="152">
  <si>
    <t>Product</t>
  </si>
  <si>
    <t>Current price</t>
  </si>
  <si>
    <t>old price</t>
  </si>
  <si>
    <t>Discount</t>
  </si>
  <si>
    <t>DISCOUNT CATEGORY</t>
  </si>
  <si>
    <t>Review</t>
  </si>
  <si>
    <t>Rating(Out of 5)</t>
  </si>
  <si>
    <t>Rating Category</t>
  </si>
  <si>
    <t>New Review</t>
  </si>
  <si>
    <t>Current Price</t>
  </si>
  <si>
    <t>Old Price</t>
  </si>
  <si>
    <t>Discount Percentage</t>
  </si>
  <si>
    <t>Rating</t>
  </si>
  <si>
    <t>32PCS Portable Cordless Drill Set With Cyclic Battery Drive -26 Variable Speed</t>
  </si>
  <si>
    <t>Medium</t>
  </si>
  <si>
    <t>Average</t>
  </si>
  <si>
    <t>Konka Healty Electric Kettle, 24-hour Heat Preservation,1.5L,800W, White</t>
  </si>
  <si>
    <t>Excellent</t>
  </si>
  <si>
    <t>Most Expensive Product</t>
  </si>
  <si>
    <t>Metal Wall Clock Silver Dial Crystal Jewelry Round Home Decoration Wall Clock</t>
  </si>
  <si>
    <t>Low</t>
  </si>
  <si>
    <t>220V 60W Electric Soldering Iron Kits With Tools, Tips, And Multimeter</t>
  </si>
  <si>
    <t>LED Wall Digital Alarm Clock Study Home 12 / 24H Clock Calendar</t>
  </si>
  <si>
    <t>Portable Wardrobe Nonwoven With 3 Hanging Rods And 6 Storage Shelves</t>
  </si>
  <si>
    <t>12V 19500rpm Handheld Electric Angle Grinder Tool - UK - Yellow/Black</t>
  </si>
  <si>
    <t>LASA Stainless Steel Double Wall Mount Soap Dispenser - 500ml</t>
  </si>
  <si>
    <t>137 Pieces Cake Decorating Tool Set Baking Supplies</t>
  </si>
  <si>
    <t>Large Lazy Inflatable Sofa Chairs PVC Lounger Seat Bag</t>
  </si>
  <si>
    <t>MultiFunctional Storage Rack Multi-layer Bookshelf</t>
  </si>
  <si>
    <t>High</t>
  </si>
  <si>
    <t>Portable Mini Cordless Car Vacuum Cleaner - Blue</t>
  </si>
  <si>
    <t>5 Pieces/set Of Stainless Steel Induction Cooker Pots</t>
  </si>
  <si>
    <t>Poor</t>
  </si>
  <si>
    <t>Shower Cap Wide Elastic Band Cover Reusable Bashroom Cap</t>
  </si>
  <si>
    <t>5-PCS Stainless Steel Cooking Pot Set With Steamed Slices</t>
  </si>
  <si>
    <t>LASA 3 Tier Bamboo Shoe Bench Storage Shelf</t>
  </si>
  <si>
    <t>LASA Aluminum Folding Truck Hand Cart - 68kg Max</t>
  </si>
  <si>
    <t>53 Pieces/Set Yarn Knitting Crochet Hooks With Bag - Pansies</t>
  </si>
  <si>
    <t>53Pcs/Set Yarn Knitting Crochet Hooks With Bag - Fortune Cat</t>
  </si>
  <si>
    <t>24 Grid Wall-mounted Sundries Organiser Fabric Closet Bag Storage Rack</t>
  </si>
  <si>
    <t>4pcs Bathroom/Kitchen Towel Rack,Roll Paper Holder,Towel Bars,Hook</t>
  </si>
  <si>
    <t>LED Eye Protection  Desk Lamp , Study, Reading, USB Fan - Double Pen Holder</t>
  </si>
  <si>
    <t>1/2/3 Seater Elastic Sofa Cover,Living Room/Home Decor Chair Cover-Grey</t>
  </si>
  <si>
    <t>Thickening Multipurpose Non Stick Easy To Clean Heat Resistant Spoon Pad</t>
  </si>
  <si>
    <t>52 Pieces Cake Decorating Tool Set Gift Kit Baking Supplies</t>
  </si>
  <si>
    <t>Portable Home Small Air Humidifier 3-Speed Fan - Green</t>
  </si>
  <si>
    <t>Cushion Silicone Butt Cushion Summer Ice Cushion Honeycomb Gel Cushion</t>
  </si>
  <si>
    <t>Multifunction Laser Level With Adjustment Tripod</t>
  </si>
  <si>
    <t>2 Pairs Cowhide Split Leather Work Gloves.32â„‰ Or Above Welding Gloves</t>
  </si>
  <si>
    <t>Pen Grips For Kids Pen Grip Posture Correction Tool For Kids</t>
  </si>
  <si>
    <t>Shower Nozzle Cleaning Unclogging Needle Mini Crevice Small Hole Cleaning Brush</t>
  </si>
  <si>
    <t>Foldable Overbed Table/Desk</t>
  </si>
  <si>
    <t>DIY File Folder, Office Drawer File Holder, Pen Holder, Desktop Storage Rack</t>
  </si>
  <si>
    <t>13 In 1 Home Repair Tools Box Kit Set</t>
  </si>
  <si>
    <t>Weighing Scale Digital Bathroom Body Fat Scale USB-Black</t>
  </si>
  <si>
    <t>Electric LED UV Mosquito Killer Lamp, Outdoor/Indoor Fly Killer Trap Light -USB</t>
  </si>
  <si>
    <t>Wall Mount Automatic Toothpaste Dispenser Toothbrush Holder Toothpaste Squeezer</t>
  </si>
  <si>
    <t>Wall-Mounted Toothbrush Toothpaste Holder With Multiple Slots</t>
  </si>
  <si>
    <t>Office Chair Lumbar Back Support Spine Posture Correction Pillow Car Cushion</t>
  </si>
  <si>
    <t>Portable Soap Dispenser Kitchen Detergent Press Box Kitchen Tools</t>
  </si>
  <si>
    <t>5m Waterproof Spherical LED String Lights Outdoor Ball Chain Lights Party Lighting Decoration Adjustable</t>
  </si>
  <si>
    <t>Multi-purpose Rice Drainage Basket And Fruit And Vegetable Drainage Sieve</t>
  </si>
  <si>
    <t>9pcs Gas Mask, For Painting, Dust, Formaldehyde Grinding, Polishing</t>
  </si>
  <si>
    <t>12 Litre Black Insulated Lunch Box</t>
  </si>
  <si>
    <t>Portable Wine Table With Folding Round Table</t>
  </si>
  <si>
    <t>LASA FOLDING TABLE SERVING STAND</t>
  </si>
  <si>
    <t>VIC Wireless Vacuum Cleaner Dual Use For Home And Car 120W High Power Powerful</t>
  </si>
  <si>
    <t>2PCS Ice Silk Square Cushion Cover Pillowcases - 65x65cm</t>
  </si>
  <si>
    <t>2pcs Solar Street Light Flood Light Outdoor</t>
  </si>
  <si>
    <t>60W Hot Melt Glue Sprayer - Efficient And Stable Glue Dispensing</t>
  </si>
  <si>
    <t>Cartoon Embroidered Mini Towel Bear Cotton Wash Cloth Hand 4pcs</t>
  </si>
  <si>
    <t>Memory Foam Neck Pillow Cover, With Pillow Core - 50*30cm</t>
  </si>
  <si>
    <t>LED Solar Street Light-fake Camera</t>
  </si>
  <si>
    <t>8in1 Screwdriver With LED Light</t>
  </si>
  <si>
    <t>380ML USB Rechargeable Portable Small Blenders And Juicers</t>
  </si>
  <si>
    <t>Christmas Elk Fence Yard Lawn Decorations Cute For Holidays</t>
  </si>
  <si>
    <t>3D Waterproof EVA Plastic Shower Curtain 1.8*2Mtrs</t>
  </si>
  <si>
    <t>100 Pcs Crochet Hook Tool Set Knitting Hook Set With Box</t>
  </si>
  <si>
    <t>Artificial Potted Flowers Room Decorative Flowers (2 Pieces)</t>
  </si>
  <si>
    <t>Desk Foldable Fan Adjustable Fan Strong Wind 3 Gear Usb</t>
  </si>
  <si>
    <t>12 Litre Insulated Lunch Box Grey</t>
  </si>
  <si>
    <t>Bedroom Simple Floor Hanging Clothes Rack Single Pole Hat Rack - White</t>
  </si>
  <si>
    <t>7-piece Set Of Storage Bags, Travel Storage Bags, Shoe Bags</t>
  </si>
  <si>
    <t>115  Piece Set Of Multifunctional Precision Screwdrivers</t>
  </si>
  <si>
    <t>6 Layers Steel Pipe Assembling Dustproof Storage Shoe Cabinet</t>
  </si>
  <si>
    <t>LED Romantic Spaceship Starry Sky Projector,Children's Bedroom Night Light-Blue</t>
  </si>
  <si>
    <t>Wall Clock With Hidden Safe Box</t>
  </si>
  <si>
    <t>Angle Measuring Tool Full Metal Multi Angle Measuring Tool</t>
  </si>
  <si>
    <t>Cute Christmas Fence Garden Decorations For Holiday Home</t>
  </si>
  <si>
    <t>Genebre 115 In 1 Screwdriver Repairing Tool Set For IPhone Cellphone Hand Tool</t>
  </si>
  <si>
    <t>Outdoor Portable Water Bottle With Medicine Box - 600ML - Black</t>
  </si>
  <si>
    <t>2PCS/LOT Solar LED Outdoor Intelligent Light Controlled Wall Lamp</t>
  </si>
  <si>
    <t>Christmas Fence Garden Decorations Outdoor For Holiday Home</t>
  </si>
  <si>
    <t>3PCS Rotary Scraper Thermomix For Kitchen</t>
  </si>
  <si>
    <t>Car Phone Charging Stand</t>
  </si>
  <si>
    <t>Multifunctional Hanging Storage Box Storage Bag (4 Layers)</t>
  </si>
  <si>
    <t>Balloon Insert, Birthday Party Balloon Set, PU Leather</t>
  </si>
  <si>
    <t>40cm Gold DIY Acrylic Wall Sticker Clock</t>
  </si>
  <si>
    <t>Metal Decorative Hooks Key Hangers Entryway Wall Hooks Towel Hooks - Home</t>
  </si>
  <si>
    <t>Baby Early Education Shape And Color Cognitive Training Toys</t>
  </si>
  <si>
    <t>Wrought Iron Bathroom Shelf Wall Mounted Free Punch Toilet Rack</t>
  </si>
  <si>
    <t>LASA Digital Thermometer And Hydrometer</t>
  </si>
  <si>
    <t>Simple Metal Dog Art Sculpture Decoration For Home Office</t>
  </si>
  <si>
    <t>4M Float Switch Water Level Controller -Water Tank</t>
  </si>
  <si>
    <t>Mythco 120COB Solar Wall Ligt With Motion Sensor And Remote Control 3 Modes</t>
  </si>
  <si>
    <t>Wall-mounted Sticker Punch-free Plug Fixer</t>
  </si>
  <si>
    <t>120W Cordless Vacuum Cleaners Handheld Electric Vacuum Cleaner</t>
  </si>
  <si>
    <t>Electronic Digital Display Vernier Caliper</t>
  </si>
  <si>
    <t>Punch-free Great Load Bearing Bathroom Storage Rack Wall Shelf-White</t>
  </si>
  <si>
    <t>Agapeon Toothbrush Holder And Toothpaste Dispenser</t>
  </si>
  <si>
    <t>Watercolour Gold Foil Textured Print Pillow Cover</t>
  </si>
  <si>
    <t>Anti-Skid Absorbent Insulation Coaster  For Home Office</t>
  </si>
  <si>
    <t>Household Pineapple Peeler Peeler</t>
  </si>
  <si>
    <t>Intelligent  LED Body Sensor Wireless Lighting Night Light USB</t>
  </si>
  <si>
    <t>Brush &amp; Paintbrush Cleaning Tool Pink</t>
  </si>
  <si>
    <t>Pilates Cloth Bag Waterproof Durable High Capacity Purple</t>
  </si>
  <si>
    <t>Cartoon Car Decoration Cute Individuality For Car Home Desk</t>
  </si>
  <si>
    <t>4 Piece Coloured Stainless Steel Kitchenware Set</t>
  </si>
  <si>
    <t>Modern Sofa Throw Pillow Cover-45x45cm-Blue&amp;Red</t>
  </si>
  <si>
    <t>7PCS Silicone Thumb Knife Finger Protector Vegetable Harvesting Knife</t>
  </si>
  <si>
    <t>6 In 1 Bottle Can Opener Multifunctional Easy Opener</t>
  </si>
  <si>
    <t>Creative Owl Shape Keychain Black</t>
  </si>
  <si>
    <t>1PC Refrigerator Food Seal Pocket Fridge Bags</t>
  </si>
  <si>
    <t>Peacock  Throw Pillow Cushion Case For Home Car</t>
  </si>
  <si>
    <t>Exfoliate And Exfoliate Face Towel - Black</t>
  </si>
  <si>
    <t>Classic Black Cat Cotton Hemp Pillow Case For Home Car</t>
  </si>
  <si>
    <t>Black Simple Water Cup Wine Coaster Anti Slip Absorbent</t>
  </si>
  <si>
    <t>Sewing Machine Needle Threader Stitch Insertion Tool Automatic Quick Sewing</t>
  </si>
  <si>
    <t>3PCS Single Head Knitting Crochet Sweater Needle Set</t>
  </si>
  <si>
    <t>DATA Analysis</t>
  </si>
  <si>
    <t>Descriptive Analysis</t>
  </si>
  <si>
    <t>Row Labels</t>
  </si>
  <si>
    <t>Grand Total</t>
  </si>
  <si>
    <t>Average of Rating(Out of 5)</t>
  </si>
  <si>
    <t>Average of Discount</t>
  </si>
  <si>
    <t>Dicscount Category</t>
  </si>
  <si>
    <t>Count of Product</t>
  </si>
  <si>
    <t>Sum of New Review</t>
  </si>
  <si>
    <t>Average of New Review</t>
  </si>
  <si>
    <t>Product  Perfomance  Analysis</t>
  </si>
  <si>
    <t>1.Top 10 Products with the Highest Discounts</t>
  </si>
  <si>
    <t>2. Top 10 Products with Most Reviews</t>
  </si>
  <si>
    <t>3. Top 5 highest Rated Products</t>
  </si>
  <si>
    <t>Bottom 5 rated Products</t>
  </si>
  <si>
    <t>Discount Levels</t>
  </si>
  <si>
    <t>0-499</t>
  </si>
  <si>
    <t>500-999</t>
  </si>
  <si>
    <t>1000-1499</t>
  </si>
  <si>
    <t>1500-1999</t>
  </si>
  <si>
    <t>2000-2499</t>
  </si>
  <si>
    <t>2500-2999</t>
  </si>
  <si>
    <t>3500-4000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</si>
</sst>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Ksh&quot;#,##0.00;[Red]\-&quot;Ksh&quot;#,##0.00"/>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8" fontId="0" fillId="0" borderId="0" xfId="0" applyNumberFormat="1"/>
    <xf numFmtId="10" fontId="0" fillId="0" borderId="0" xfId="0" applyNumberFormat="1"/>
    <xf numFmtId="0" fontId="16" fillId="0" borderId="0" xfId="0" applyFont="1"/>
    <xf numFmtId="0" fontId="16" fillId="0" borderId="0" xfId="0" applyFont="1" applyAlignment="1">
      <alignment horizontal="right"/>
    </xf>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0" fontId="0" fillId="0" borderId="0" xfId="0" applyNumberFormat="1" applyAlignment="1">
      <alignment horizontal="left"/>
    </xf>
    <xf numFmtId="0" fontId="0" fillId="0" borderId="0" xfId="0" applyAlignment="1">
      <alignment horizontal="left" indent="1"/>
    </xf>
    <xf numFmtId="0" fontId="0" fillId="33" borderId="0" xfId="0" applyFill="1"/>
    <xf numFmtId="2" fontId="0" fillId="0" borderId="0" xfId="0" applyNumberFormat="1"/>
    <xf numFmtId="0" fontId="0" fillId="0" borderId="0" xfId="0" applyNumberFormat="1"/>
    <xf numFmtId="8"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2  Complete.xlsx]Top Products By Rating!PivotTable1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Top 10 Product By Rating</a:t>
            </a:r>
          </a:p>
        </c:rich>
      </c:tx>
      <c:layout>
        <c:manualLayout>
          <c:xMode val="edge"/>
          <c:yMode val="edge"/>
          <c:x val="0.28030761216253214"/>
          <c:y val="2.0637487101570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 By Rating'!$B$3</c:f>
              <c:strCache>
                <c:ptCount val="1"/>
                <c:pt idx="0">
                  <c:v>Total</c:v>
                </c:pt>
              </c:strCache>
            </c:strRef>
          </c:tx>
          <c:spPr>
            <a:solidFill>
              <a:schemeClr val="accent4"/>
            </a:solidFill>
            <a:ln>
              <a:noFill/>
            </a:ln>
            <a:effectLst/>
          </c:spPr>
          <c:invertIfNegative val="0"/>
          <c:cat>
            <c:strRef>
              <c:f>'Top Products By 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'Top Products By 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F75D-4AFF-9D94-8A56CA0A0131}"/>
            </c:ext>
          </c:extLst>
        </c:ser>
        <c:dLbls>
          <c:showLegendKey val="0"/>
          <c:showVal val="0"/>
          <c:showCatName val="0"/>
          <c:showSerName val="0"/>
          <c:showPercent val="0"/>
          <c:showBubbleSize val="0"/>
        </c:dLbls>
        <c:gapWidth val="219"/>
        <c:overlap val="-27"/>
        <c:axId val="1054015328"/>
        <c:axId val="1054011968"/>
      </c:barChart>
      <c:catAx>
        <c:axId val="105401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011968"/>
        <c:crosses val="autoZero"/>
        <c:auto val="1"/>
        <c:lblAlgn val="ctr"/>
        <c:lblOffset val="100"/>
        <c:noMultiLvlLbl val="0"/>
      </c:catAx>
      <c:valAx>
        <c:axId val="105401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01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2  Complete.xlsx]Top Product By Reviews!PivotTable8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10</a:t>
            </a:r>
            <a:r>
              <a:rPr lang="en-US" b="1" baseline="0">
                <a:solidFill>
                  <a:sysClr val="windowText" lastClr="000000"/>
                </a:solidFill>
              </a:rPr>
              <a:t> </a:t>
            </a:r>
            <a:r>
              <a:rPr lang="en-US" b="1">
                <a:solidFill>
                  <a:sysClr val="windowText" lastClr="000000"/>
                </a:solidFill>
              </a:rPr>
              <a:t>Prodcuts</a:t>
            </a:r>
            <a:r>
              <a:rPr lang="en-US" b="1" baseline="0">
                <a:solidFill>
                  <a:sysClr val="windowText" lastClr="000000"/>
                </a:solidFill>
              </a:rPr>
              <a:t> By Number of Reviews</a:t>
            </a:r>
            <a:endParaRPr lang="en-US" b="1">
              <a:solidFill>
                <a:sysClr val="windowText" lastClr="000000"/>
              </a:solidFill>
            </a:endParaRPr>
          </a:p>
        </c:rich>
      </c:tx>
      <c:layout>
        <c:manualLayout>
          <c:xMode val="edge"/>
          <c:yMode val="edge"/>
          <c:x val="0.24048600174978127"/>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 By Reviews'!$B$3</c:f>
              <c:strCache>
                <c:ptCount val="1"/>
                <c:pt idx="0">
                  <c:v>Total</c:v>
                </c:pt>
              </c:strCache>
            </c:strRef>
          </c:tx>
          <c:spPr>
            <a:solidFill>
              <a:schemeClr val="accent4"/>
            </a:solidFill>
            <a:ln>
              <a:noFill/>
            </a:ln>
            <a:effectLst/>
          </c:spPr>
          <c:invertIfNegative val="0"/>
          <c:cat>
            <c:strRef>
              <c:f>'Top Product By Reviews'!$A$4:$A$14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'Top Product By Reviews'!$B$4:$B$14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D7AA-4EF8-865F-1D75189B1D90}"/>
            </c:ext>
          </c:extLst>
        </c:ser>
        <c:dLbls>
          <c:showLegendKey val="0"/>
          <c:showVal val="0"/>
          <c:showCatName val="0"/>
          <c:showSerName val="0"/>
          <c:showPercent val="0"/>
          <c:showBubbleSize val="0"/>
        </c:dLbls>
        <c:gapWidth val="182"/>
        <c:axId val="869239312"/>
        <c:axId val="869241712"/>
      </c:barChart>
      <c:catAx>
        <c:axId val="8692393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241712"/>
        <c:crosses val="autoZero"/>
        <c:auto val="1"/>
        <c:lblAlgn val="ctr"/>
        <c:lblOffset val="100"/>
        <c:noMultiLvlLbl val="0"/>
      </c:catAx>
      <c:valAx>
        <c:axId val="86924171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23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2  Complete.xlsx]Top Product By Discount!PivotTable9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10 Prodcuts By Discount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 By Discount'!$B$3</c:f>
              <c:strCache>
                <c:ptCount val="1"/>
                <c:pt idx="0">
                  <c:v>Total</c:v>
                </c:pt>
              </c:strCache>
            </c:strRef>
          </c:tx>
          <c:spPr>
            <a:solidFill>
              <a:schemeClr val="accent4"/>
            </a:solidFill>
            <a:ln>
              <a:noFill/>
            </a:ln>
            <a:effectLst/>
          </c:spPr>
          <c:invertIfNegative val="0"/>
          <c:cat>
            <c:strRef>
              <c:f>'Top Product By Discount'!$A$4:$A$14</c:f>
              <c:strCache>
                <c:ptCount val="10"/>
                <c:pt idx="0">
                  <c:v>6 In 1 Bottle Can Opener Multifunctional Easy Opener</c:v>
                </c:pt>
                <c:pt idx="1">
                  <c:v>5-PCS Stainless Steel Cooking Pot Set With Steamed Slices</c:v>
                </c:pt>
                <c:pt idx="2">
                  <c:v>Creative Owl Shape Keychain Black</c:v>
                </c:pt>
                <c:pt idx="3">
                  <c:v>LASA FOLDING TABLE SERVING STAND</c:v>
                </c:pt>
                <c:pt idx="4">
                  <c:v>LASA 3 Tier Bamboo Shoe Bench Storage Shelf</c:v>
                </c:pt>
                <c:pt idx="5">
                  <c:v>Mythco 120COB Solar Wall Ligt With Motion Sensor And Remote Control 3 Modes</c:v>
                </c:pt>
                <c:pt idx="6">
                  <c:v>3PCS Single Head Knitting Crochet Sweater Needle Set</c:v>
                </c:pt>
                <c:pt idx="7">
                  <c:v>Classic Black Cat Cotton Hemp Pillow Case For Home Car</c:v>
                </c:pt>
                <c:pt idx="8">
                  <c:v>Intelligent  LED Body Sensor Wireless Lighting Night Light USB</c:v>
                </c:pt>
                <c:pt idx="9">
                  <c:v>Exfoliate And Exfoliate Face Towel - Black</c:v>
                </c:pt>
              </c:strCache>
            </c:strRef>
          </c:cat>
          <c:val>
            <c:numRef>
              <c:f>'Top Product By Discount'!$B$4:$B$14</c:f>
              <c:numCache>
                <c:formatCode>0.00%</c:formatCode>
                <c:ptCount val="10"/>
                <c:pt idx="0">
                  <c:v>0.64014466546112114</c:v>
                </c:pt>
                <c:pt idx="1">
                  <c:v>0.55000000000000004</c:v>
                </c:pt>
                <c:pt idx="2">
                  <c:v>0.54750690131124913</c:v>
                </c:pt>
                <c:pt idx="3">
                  <c:v>0.54500000000000004</c:v>
                </c:pt>
                <c:pt idx="4">
                  <c:v>0.54488888888888887</c:v>
                </c:pt>
                <c:pt idx="5">
                  <c:v>0.53549695740365111</c:v>
                </c:pt>
                <c:pt idx="6">
                  <c:v>0.52500000000000002</c:v>
                </c:pt>
                <c:pt idx="7">
                  <c:v>0.52500000000000002</c:v>
                </c:pt>
                <c:pt idx="8">
                  <c:v>0.5220588235294118</c:v>
                </c:pt>
                <c:pt idx="9">
                  <c:v>0.51570680628272247</c:v>
                </c:pt>
              </c:numCache>
            </c:numRef>
          </c:val>
          <c:extLst>
            <c:ext xmlns:c16="http://schemas.microsoft.com/office/drawing/2014/chart" uri="{C3380CC4-5D6E-409C-BE32-E72D297353CC}">
              <c16:uniqueId val="{00000000-11CC-46A4-B213-7FF0A57F1884}"/>
            </c:ext>
          </c:extLst>
        </c:ser>
        <c:dLbls>
          <c:showLegendKey val="0"/>
          <c:showVal val="0"/>
          <c:showCatName val="0"/>
          <c:showSerName val="0"/>
          <c:showPercent val="0"/>
          <c:showBubbleSize val="0"/>
        </c:dLbls>
        <c:gapWidth val="219"/>
        <c:overlap val="-27"/>
        <c:axId val="1060393280"/>
        <c:axId val="1060391360"/>
      </c:barChart>
      <c:catAx>
        <c:axId val="106039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91360"/>
        <c:crosses val="autoZero"/>
        <c:auto val="1"/>
        <c:lblAlgn val="ctr"/>
        <c:lblOffset val="100"/>
        <c:noMultiLvlLbl val="0"/>
      </c:catAx>
      <c:valAx>
        <c:axId val="1060391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9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2  Complete.xlsx]Reviews By Discount!PivotTable10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ysClr val="windowText" lastClr="000000"/>
                </a:solidFill>
              </a:rPr>
              <a:t>Number of Reviews By Discount Percentage</a:t>
            </a:r>
          </a:p>
        </c:rich>
      </c:tx>
      <c:layout>
        <c:manualLayout>
          <c:xMode val="edge"/>
          <c:yMode val="edge"/>
          <c:x val="0.15938188976377954"/>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'Reviews By Discount'!$B$3</c:f>
              <c:strCache>
                <c:ptCount val="1"/>
                <c:pt idx="0">
                  <c:v>Total</c:v>
                </c:pt>
              </c:strCache>
            </c:strRef>
          </c:tx>
          <c:spPr>
            <a:ln w="28575" cap="rnd">
              <a:solidFill>
                <a:schemeClr val="accent4"/>
              </a:solidFill>
              <a:round/>
            </a:ln>
            <a:effectLst/>
          </c:spPr>
          <c:marker>
            <c:symbol val="none"/>
          </c:marker>
          <c:cat>
            <c:strRef>
              <c:f>'Reviews By Discount'!$A$4:$A$28</c:f>
              <c:strCache>
                <c:ptCount val="24"/>
                <c:pt idx="0">
                  <c:v>0</c:v>
                </c:pt>
                <c:pt idx="1">
                  <c:v>1</c:v>
                </c:pt>
                <c:pt idx="2">
                  <c:v>2</c:v>
                </c:pt>
                <c:pt idx="3">
                  <c:v>3</c:v>
                </c:pt>
                <c:pt idx="4">
                  <c:v>5</c:v>
                </c:pt>
                <c:pt idx="5">
                  <c:v>6</c:v>
                </c:pt>
                <c:pt idx="6">
                  <c:v>7</c:v>
                </c:pt>
                <c:pt idx="7">
                  <c:v>9</c:v>
                </c:pt>
                <c:pt idx="8">
                  <c:v>10</c:v>
                </c:pt>
                <c:pt idx="9">
                  <c:v>12</c:v>
                </c:pt>
                <c:pt idx="10">
                  <c:v>13</c:v>
                </c:pt>
                <c:pt idx="11">
                  <c:v>14</c:v>
                </c:pt>
                <c:pt idx="12">
                  <c:v>15</c:v>
                </c:pt>
                <c:pt idx="13">
                  <c:v>16</c:v>
                </c:pt>
                <c:pt idx="14">
                  <c:v>17</c:v>
                </c:pt>
                <c:pt idx="15">
                  <c:v>20</c:v>
                </c:pt>
                <c:pt idx="16">
                  <c:v>24</c:v>
                </c:pt>
                <c:pt idx="17">
                  <c:v>32</c:v>
                </c:pt>
                <c:pt idx="18">
                  <c:v>36</c:v>
                </c:pt>
                <c:pt idx="19">
                  <c:v>39</c:v>
                </c:pt>
                <c:pt idx="20">
                  <c:v>44</c:v>
                </c:pt>
                <c:pt idx="21">
                  <c:v>49</c:v>
                </c:pt>
                <c:pt idx="22">
                  <c:v>55</c:v>
                </c:pt>
                <c:pt idx="23">
                  <c:v>69</c:v>
                </c:pt>
              </c:strCache>
            </c:strRef>
          </c:cat>
          <c:val>
            <c:numRef>
              <c:f>'Reviews By Discount'!$B$4:$B$28</c:f>
              <c:numCache>
                <c:formatCode>0.00%</c:formatCode>
                <c:ptCount val="24"/>
                <c:pt idx="0">
                  <c:v>0.34515064299323389</c:v>
                </c:pt>
                <c:pt idx="1">
                  <c:v>0.42395882967278092</c:v>
                </c:pt>
                <c:pt idx="2">
                  <c:v>0.43050321238987804</c:v>
                </c:pt>
                <c:pt idx="3">
                  <c:v>0.49005288340468395</c:v>
                </c:pt>
                <c:pt idx="4">
                  <c:v>0.36613240026038668</c:v>
                </c:pt>
                <c:pt idx="5">
                  <c:v>0.37418628794712316</c:v>
                </c:pt>
                <c:pt idx="6">
                  <c:v>0.47180022852514503</c:v>
                </c:pt>
                <c:pt idx="7">
                  <c:v>0.44064930912433081</c:v>
                </c:pt>
                <c:pt idx="8">
                  <c:v>0.53549695740365111</c:v>
                </c:pt>
                <c:pt idx="9">
                  <c:v>0.29774173196991993</c:v>
                </c:pt>
                <c:pt idx="10">
                  <c:v>0.46553601340033507</c:v>
                </c:pt>
                <c:pt idx="11">
                  <c:v>0.35251530600367809</c:v>
                </c:pt>
                <c:pt idx="12">
                  <c:v>0.30525433577686395</c:v>
                </c:pt>
                <c:pt idx="13">
                  <c:v>0.21543408360128619</c:v>
                </c:pt>
                <c:pt idx="14">
                  <c:v>0.45428571428571429</c:v>
                </c:pt>
                <c:pt idx="15">
                  <c:v>0.28222156787243202</c:v>
                </c:pt>
                <c:pt idx="16">
                  <c:v>0.24769072870338693</c:v>
                </c:pt>
                <c:pt idx="17">
                  <c:v>0.26639496109670247</c:v>
                </c:pt>
                <c:pt idx="18">
                  <c:v>0.40701219512195119</c:v>
                </c:pt>
                <c:pt idx="19">
                  <c:v>0.34</c:v>
                </c:pt>
                <c:pt idx="20">
                  <c:v>0.49237029501525942</c:v>
                </c:pt>
                <c:pt idx="21">
                  <c:v>0.3508500772797527</c:v>
                </c:pt>
                <c:pt idx="22">
                  <c:v>0.23515831134564644</c:v>
                </c:pt>
                <c:pt idx="23">
                  <c:v>0.49026345933562426</c:v>
                </c:pt>
              </c:numCache>
            </c:numRef>
          </c:val>
          <c:smooth val="0"/>
          <c:extLst>
            <c:ext xmlns:c16="http://schemas.microsoft.com/office/drawing/2014/chart" uri="{C3380CC4-5D6E-409C-BE32-E72D297353CC}">
              <c16:uniqueId val="{00000000-FBF5-4CBC-BD4B-379892BE5CE5}"/>
            </c:ext>
          </c:extLst>
        </c:ser>
        <c:dLbls>
          <c:showLegendKey val="0"/>
          <c:showVal val="0"/>
          <c:showCatName val="0"/>
          <c:showSerName val="0"/>
          <c:showPercent val="0"/>
          <c:showBubbleSize val="0"/>
        </c:dLbls>
        <c:smooth val="0"/>
        <c:axId val="1249708944"/>
        <c:axId val="1249710384"/>
      </c:lineChart>
      <c:catAx>
        <c:axId val="124970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10384"/>
        <c:crosses val="autoZero"/>
        <c:auto val="1"/>
        <c:lblAlgn val="ctr"/>
        <c:lblOffset val="100"/>
        <c:noMultiLvlLbl val="0"/>
      </c:catAx>
      <c:valAx>
        <c:axId val="1249710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0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2  Complete.xlsx]Number of Revie By Rating!PivotTable11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Number of Reviews Per Rating</a:t>
            </a:r>
          </a:p>
        </c:rich>
      </c:tx>
      <c:layout>
        <c:manualLayout>
          <c:xMode val="edge"/>
          <c:yMode val="edge"/>
          <c:x val="0.31123600174978128"/>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'Number of Revie By Rating'!$B$3</c:f>
              <c:strCache>
                <c:ptCount val="1"/>
                <c:pt idx="0">
                  <c:v>Total</c:v>
                </c:pt>
              </c:strCache>
            </c:strRef>
          </c:tx>
          <c:spPr>
            <a:solidFill>
              <a:schemeClr val="accent4"/>
            </a:solidFill>
            <a:ln>
              <a:noFill/>
            </a:ln>
            <a:effectLst/>
          </c:spPr>
          <c:invertIfNegative val="0"/>
          <c:cat>
            <c:strRef>
              <c:f>'Number of Revie By Rating'!$A$4:$A$27</c:f>
              <c:strCache>
                <c:ptCount val="23"/>
                <c:pt idx="0">
                  <c:v>4.6</c:v>
                </c:pt>
                <c:pt idx="1">
                  <c:v>4.7</c:v>
                </c:pt>
                <c:pt idx="2">
                  <c:v>2.8</c:v>
                </c:pt>
                <c:pt idx="3">
                  <c:v>4.3</c:v>
                </c:pt>
                <c:pt idx="4">
                  <c:v>4.1</c:v>
                </c:pt>
                <c:pt idx="5">
                  <c:v>4.5</c:v>
                </c:pt>
                <c:pt idx="6">
                  <c:v>3.8</c:v>
                </c:pt>
                <c:pt idx="7">
                  <c:v>3</c:v>
                </c:pt>
                <c:pt idx="8">
                  <c:v>4</c:v>
                </c:pt>
                <c:pt idx="9">
                  <c:v>4.8</c:v>
                </c:pt>
                <c:pt idx="10">
                  <c:v>2.1</c:v>
                </c:pt>
                <c:pt idx="11">
                  <c:v>2.6</c:v>
                </c:pt>
                <c:pt idx="12">
                  <c:v>2.9</c:v>
                </c:pt>
                <c:pt idx="13">
                  <c:v>2.7</c:v>
                </c:pt>
                <c:pt idx="14">
                  <c:v>4.4</c:v>
                </c:pt>
                <c:pt idx="15">
                  <c:v>2.3</c:v>
                </c:pt>
                <c:pt idx="16">
                  <c:v>3.3</c:v>
                </c:pt>
                <c:pt idx="17">
                  <c:v>5</c:v>
                </c:pt>
                <c:pt idx="18">
                  <c:v>2.2</c:v>
                </c:pt>
                <c:pt idx="19">
                  <c:v>4.2</c:v>
                </c:pt>
                <c:pt idx="20">
                  <c:v>2.5</c:v>
                </c:pt>
                <c:pt idx="21">
                  <c:v>2</c:v>
                </c:pt>
                <c:pt idx="22">
                  <c:v>3.9</c:v>
                </c:pt>
              </c:strCache>
            </c:strRef>
          </c:cat>
          <c:val>
            <c:numRef>
              <c:f>'Number of Revie By Rating'!$B$4:$B$27</c:f>
              <c:numCache>
                <c:formatCode>General</c:formatCode>
                <c:ptCount val="23"/>
                <c:pt idx="0">
                  <c:v>177</c:v>
                </c:pt>
                <c:pt idx="1">
                  <c:v>78</c:v>
                </c:pt>
                <c:pt idx="2">
                  <c:v>69</c:v>
                </c:pt>
                <c:pt idx="3">
                  <c:v>61</c:v>
                </c:pt>
                <c:pt idx="4">
                  <c:v>46</c:v>
                </c:pt>
                <c:pt idx="5">
                  <c:v>42</c:v>
                </c:pt>
                <c:pt idx="6">
                  <c:v>30</c:v>
                </c:pt>
                <c:pt idx="7">
                  <c:v>26</c:v>
                </c:pt>
                <c:pt idx="8">
                  <c:v>24</c:v>
                </c:pt>
                <c:pt idx="9">
                  <c:v>22</c:v>
                </c:pt>
                <c:pt idx="10">
                  <c:v>20</c:v>
                </c:pt>
                <c:pt idx="11">
                  <c:v>17</c:v>
                </c:pt>
                <c:pt idx="12">
                  <c:v>16</c:v>
                </c:pt>
                <c:pt idx="13">
                  <c:v>15</c:v>
                </c:pt>
                <c:pt idx="14">
                  <c:v>14</c:v>
                </c:pt>
                <c:pt idx="15">
                  <c:v>13</c:v>
                </c:pt>
                <c:pt idx="16">
                  <c:v>13</c:v>
                </c:pt>
                <c:pt idx="17">
                  <c:v>12</c:v>
                </c:pt>
                <c:pt idx="18">
                  <c:v>12</c:v>
                </c:pt>
                <c:pt idx="19">
                  <c:v>9</c:v>
                </c:pt>
                <c:pt idx="20">
                  <c:v>6</c:v>
                </c:pt>
                <c:pt idx="21">
                  <c:v>1</c:v>
                </c:pt>
                <c:pt idx="22">
                  <c:v>0</c:v>
                </c:pt>
              </c:numCache>
            </c:numRef>
          </c:val>
          <c:extLst>
            <c:ext xmlns:c16="http://schemas.microsoft.com/office/drawing/2014/chart" uri="{C3380CC4-5D6E-409C-BE32-E72D297353CC}">
              <c16:uniqueId val="{00000000-0D75-48D7-BAA2-CB1DE572BBCF}"/>
            </c:ext>
          </c:extLst>
        </c:ser>
        <c:dLbls>
          <c:showLegendKey val="0"/>
          <c:showVal val="0"/>
          <c:showCatName val="0"/>
          <c:showSerName val="0"/>
          <c:showPercent val="0"/>
          <c:showBubbleSize val="0"/>
        </c:dLbls>
        <c:gapWidth val="182"/>
        <c:axId val="1029516272"/>
        <c:axId val="1029514352"/>
      </c:barChart>
      <c:catAx>
        <c:axId val="10295162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514352"/>
        <c:crosses val="autoZero"/>
        <c:auto val="1"/>
        <c:lblAlgn val="ctr"/>
        <c:lblOffset val="100"/>
        <c:noMultiLvlLbl val="0"/>
      </c:catAx>
      <c:valAx>
        <c:axId val="102951435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51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2  Complete.xlsx]Number of Products By Rating!PivotTable1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ysClr val="windowText" lastClr="000000"/>
                </a:solidFill>
              </a:rPr>
              <a:t>Number of Products By Rating Category</a:t>
            </a:r>
          </a:p>
        </c:rich>
      </c:tx>
      <c:layout>
        <c:manualLayout>
          <c:xMode val="edge"/>
          <c:yMode val="edge"/>
          <c:x val="0.21164493933408843"/>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22835903073332"/>
          <c:y val="0.2401367016622922"/>
          <c:w val="0.64610507068522127"/>
          <c:h val="0.65246391076115473"/>
        </c:manualLayout>
      </c:layout>
      <c:barChart>
        <c:barDir val="col"/>
        <c:grouping val="clustered"/>
        <c:varyColors val="0"/>
        <c:ser>
          <c:idx val="0"/>
          <c:order val="0"/>
          <c:tx>
            <c:strRef>
              <c:f>'Number of Products By Rating'!$B$3</c:f>
              <c:strCache>
                <c:ptCount val="1"/>
                <c:pt idx="0">
                  <c:v>Total</c:v>
                </c:pt>
              </c:strCache>
            </c:strRef>
          </c:tx>
          <c:spPr>
            <a:solidFill>
              <a:schemeClr val="accent4"/>
            </a:solidFill>
            <a:ln>
              <a:noFill/>
            </a:ln>
            <a:effectLst/>
          </c:spPr>
          <c:invertIfNegative val="0"/>
          <c:cat>
            <c:strRef>
              <c:f>'Number of Products By Rating'!$A$4:$A$7</c:f>
              <c:strCache>
                <c:ptCount val="3"/>
                <c:pt idx="0">
                  <c:v>Medium</c:v>
                </c:pt>
                <c:pt idx="1">
                  <c:v>Excellent</c:v>
                </c:pt>
                <c:pt idx="2">
                  <c:v>Poor</c:v>
                </c:pt>
              </c:strCache>
            </c:strRef>
          </c:cat>
          <c:val>
            <c:numRef>
              <c:f>'Number of Products By Rating'!$B$4:$B$7</c:f>
              <c:numCache>
                <c:formatCode>General</c:formatCode>
                <c:ptCount val="3"/>
                <c:pt idx="0">
                  <c:v>77</c:v>
                </c:pt>
                <c:pt idx="1">
                  <c:v>23</c:v>
                </c:pt>
                <c:pt idx="2">
                  <c:v>12</c:v>
                </c:pt>
              </c:numCache>
            </c:numRef>
          </c:val>
          <c:extLst>
            <c:ext xmlns:c16="http://schemas.microsoft.com/office/drawing/2014/chart" uri="{C3380CC4-5D6E-409C-BE32-E72D297353CC}">
              <c16:uniqueId val="{00000000-495D-412F-A51E-E405050CA637}"/>
            </c:ext>
          </c:extLst>
        </c:ser>
        <c:dLbls>
          <c:showLegendKey val="0"/>
          <c:showVal val="0"/>
          <c:showCatName val="0"/>
          <c:showSerName val="0"/>
          <c:showPercent val="0"/>
          <c:showBubbleSize val="0"/>
        </c:dLbls>
        <c:gapWidth val="219"/>
        <c:axId val="795041632"/>
        <c:axId val="795043072"/>
      </c:barChart>
      <c:catAx>
        <c:axId val="79504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043072"/>
        <c:crosses val="autoZero"/>
        <c:auto val="1"/>
        <c:lblAlgn val="ctr"/>
        <c:lblOffset val="100"/>
        <c:noMultiLvlLbl val="0"/>
      </c:catAx>
      <c:valAx>
        <c:axId val="79504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041632"/>
        <c:crosses val="autoZero"/>
        <c:crossBetween val="between"/>
      </c:valAx>
      <c:spPr>
        <a:noFill/>
        <a:ln>
          <a:noFill/>
        </a:ln>
        <a:effectLst/>
      </c:spPr>
    </c:plotArea>
    <c:legend>
      <c:legendPos val="r"/>
      <c:layout>
        <c:manualLayout>
          <c:xMode val="edge"/>
          <c:yMode val="edge"/>
          <c:x val="0.8472222222222221"/>
          <c:y val="0.45535797608632256"/>
          <c:w val="0.1361111111111111"/>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2  Complete.xlsx]Product Count By discount Categ!PivotTable2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ysClr val="windowText" lastClr="000000"/>
                </a:solidFill>
              </a:rPr>
              <a:t>Product Count By Discount Category</a:t>
            </a:r>
          </a:p>
        </c:rich>
      </c:tx>
      <c:layout>
        <c:manualLayout>
          <c:xMode val="edge"/>
          <c:yMode val="edge"/>
          <c:x val="0.16700000000000004"/>
          <c:y val="0.1035339957790132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hade val="65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tint val="65000"/>
            </a:schemeClr>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hade val="65000"/>
            </a:schemeClr>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tint val="65000"/>
            </a:schemeClr>
          </a:solidFill>
          <a:ln w="19050">
            <a:solidFill>
              <a:schemeClr val="lt1"/>
            </a:solidFill>
          </a:ln>
          <a:effectLst/>
        </c:spPr>
      </c:pivotFmt>
    </c:pivotFmts>
    <c:plotArea>
      <c:layout/>
      <c:doughnutChart>
        <c:varyColors val="1"/>
        <c:ser>
          <c:idx val="0"/>
          <c:order val="0"/>
          <c:tx>
            <c:strRef>
              <c:f>'Product Count By discount Categ'!$B$3</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C46A-4BBA-812D-1D1EC99CE65A}"/>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46A-4BBA-812D-1D1EC99CE65A}"/>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C46A-4BBA-812D-1D1EC99CE65A}"/>
              </c:ext>
            </c:extLst>
          </c:dPt>
          <c:cat>
            <c:strRef>
              <c:f>'Product Count By discount Categ'!$A$4:$A$7</c:f>
              <c:strCache>
                <c:ptCount val="3"/>
                <c:pt idx="0">
                  <c:v>High</c:v>
                </c:pt>
                <c:pt idx="1">
                  <c:v>Medium</c:v>
                </c:pt>
                <c:pt idx="2">
                  <c:v>Low</c:v>
                </c:pt>
              </c:strCache>
            </c:strRef>
          </c:cat>
          <c:val>
            <c:numRef>
              <c:f>'Product Count By discount Categ'!$B$4:$B$7</c:f>
              <c:numCache>
                <c:formatCode>General</c:formatCode>
                <c:ptCount val="3"/>
                <c:pt idx="0">
                  <c:v>62</c:v>
                </c:pt>
                <c:pt idx="1">
                  <c:v>32</c:v>
                </c:pt>
                <c:pt idx="2">
                  <c:v>18</c:v>
                </c:pt>
              </c:numCache>
            </c:numRef>
          </c:val>
          <c:extLst>
            <c:ext xmlns:c16="http://schemas.microsoft.com/office/drawing/2014/chart" uri="{C3380CC4-5D6E-409C-BE32-E72D297353CC}">
              <c16:uniqueId val="{00000006-C46A-4BBA-812D-1D1EC99CE6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2  Complete.xlsx]Top Products By Rating!PivotTable1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Top 15 Product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 By Rating'!$B$3</c:f>
              <c:strCache>
                <c:ptCount val="1"/>
                <c:pt idx="0">
                  <c:v>Total</c:v>
                </c:pt>
              </c:strCache>
            </c:strRef>
          </c:tx>
          <c:spPr>
            <a:solidFill>
              <a:schemeClr val="accent4"/>
            </a:solidFill>
            <a:ln>
              <a:noFill/>
            </a:ln>
            <a:effectLst/>
          </c:spPr>
          <c:invertIfNegative val="0"/>
          <c:cat>
            <c:strRef>
              <c:f>'Top Products By 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'Top Products By 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BA1B-48C9-94F9-B00A75FFE892}"/>
            </c:ext>
          </c:extLst>
        </c:ser>
        <c:dLbls>
          <c:showLegendKey val="0"/>
          <c:showVal val="0"/>
          <c:showCatName val="0"/>
          <c:showSerName val="0"/>
          <c:showPercent val="0"/>
          <c:showBubbleSize val="0"/>
        </c:dLbls>
        <c:gapWidth val="219"/>
        <c:overlap val="-27"/>
        <c:axId val="1054015328"/>
        <c:axId val="1054011968"/>
      </c:barChart>
      <c:catAx>
        <c:axId val="105401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011968"/>
        <c:crosses val="autoZero"/>
        <c:auto val="1"/>
        <c:lblAlgn val="ctr"/>
        <c:lblOffset val="100"/>
        <c:noMultiLvlLbl val="0"/>
      </c:catAx>
      <c:valAx>
        <c:axId val="105401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01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2  Complete.xlsx]Top Product By Reviews!PivotTable8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15 Prodcuts</a:t>
            </a:r>
            <a:r>
              <a:rPr lang="en-US" b="1" baseline="0">
                <a:solidFill>
                  <a:sysClr val="windowText" lastClr="000000"/>
                </a:solidFill>
              </a:rPr>
              <a:t> By Number of Reviews</a:t>
            </a:r>
            <a:endParaRPr lang="en-US" b="1">
              <a:solidFill>
                <a:sysClr val="windowText" lastClr="000000"/>
              </a:solidFill>
            </a:endParaRPr>
          </a:p>
        </c:rich>
      </c:tx>
      <c:layout>
        <c:manualLayout>
          <c:xMode val="edge"/>
          <c:yMode val="edge"/>
          <c:x val="0.24048600174978127"/>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 By Reviews'!$B$3</c:f>
              <c:strCache>
                <c:ptCount val="1"/>
                <c:pt idx="0">
                  <c:v>Total</c:v>
                </c:pt>
              </c:strCache>
            </c:strRef>
          </c:tx>
          <c:spPr>
            <a:solidFill>
              <a:schemeClr val="accent4"/>
            </a:solidFill>
            <a:ln>
              <a:noFill/>
            </a:ln>
            <a:effectLst/>
          </c:spPr>
          <c:invertIfNegative val="0"/>
          <c:cat>
            <c:strRef>
              <c:f>'Top Product By Reviews'!$A$4:$A$14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'Top Product By Reviews'!$B$4:$B$14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A258-4A8C-9DE4-14A091C29933}"/>
            </c:ext>
          </c:extLst>
        </c:ser>
        <c:dLbls>
          <c:showLegendKey val="0"/>
          <c:showVal val="0"/>
          <c:showCatName val="0"/>
          <c:showSerName val="0"/>
          <c:showPercent val="0"/>
          <c:showBubbleSize val="0"/>
        </c:dLbls>
        <c:gapWidth val="182"/>
        <c:axId val="869239312"/>
        <c:axId val="869241712"/>
      </c:barChart>
      <c:catAx>
        <c:axId val="8692393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241712"/>
        <c:crosses val="autoZero"/>
        <c:auto val="1"/>
        <c:lblAlgn val="ctr"/>
        <c:lblOffset val="100"/>
        <c:noMultiLvlLbl val="0"/>
      </c:catAx>
      <c:valAx>
        <c:axId val="86924171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23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2  Complete.xlsx]Top Product By Discount!PivotTable9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10 Prodcuts By Discount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 By Discount'!$B$3</c:f>
              <c:strCache>
                <c:ptCount val="1"/>
                <c:pt idx="0">
                  <c:v>Total</c:v>
                </c:pt>
              </c:strCache>
            </c:strRef>
          </c:tx>
          <c:spPr>
            <a:solidFill>
              <a:schemeClr val="accent4"/>
            </a:solidFill>
            <a:ln>
              <a:noFill/>
            </a:ln>
            <a:effectLst/>
          </c:spPr>
          <c:invertIfNegative val="0"/>
          <c:cat>
            <c:strRef>
              <c:f>'Top Product By Discount'!$A$4:$A$14</c:f>
              <c:strCache>
                <c:ptCount val="10"/>
                <c:pt idx="0">
                  <c:v>6 In 1 Bottle Can Opener Multifunctional Easy Opener</c:v>
                </c:pt>
                <c:pt idx="1">
                  <c:v>5-PCS Stainless Steel Cooking Pot Set With Steamed Slices</c:v>
                </c:pt>
                <c:pt idx="2">
                  <c:v>Creative Owl Shape Keychain Black</c:v>
                </c:pt>
                <c:pt idx="3">
                  <c:v>LASA FOLDING TABLE SERVING STAND</c:v>
                </c:pt>
                <c:pt idx="4">
                  <c:v>LASA 3 Tier Bamboo Shoe Bench Storage Shelf</c:v>
                </c:pt>
                <c:pt idx="5">
                  <c:v>Mythco 120COB Solar Wall Ligt With Motion Sensor And Remote Control 3 Modes</c:v>
                </c:pt>
                <c:pt idx="6">
                  <c:v>3PCS Single Head Knitting Crochet Sweater Needle Set</c:v>
                </c:pt>
                <c:pt idx="7">
                  <c:v>Classic Black Cat Cotton Hemp Pillow Case For Home Car</c:v>
                </c:pt>
                <c:pt idx="8">
                  <c:v>Intelligent  LED Body Sensor Wireless Lighting Night Light USB</c:v>
                </c:pt>
                <c:pt idx="9">
                  <c:v>Exfoliate And Exfoliate Face Towel - Black</c:v>
                </c:pt>
              </c:strCache>
            </c:strRef>
          </c:cat>
          <c:val>
            <c:numRef>
              <c:f>'Top Product By Discount'!$B$4:$B$14</c:f>
              <c:numCache>
                <c:formatCode>0.00%</c:formatCode>
                <c:ptCount val="10"/>
                <c:pt idx="0">
                  <c:v>0.64014466546112114</c:v>
                </c:pt>
                <c:pt idx="1">
                  <c:v>0.55000000000000004</c:v>
                </c:pt>
                <c:pt idx="2">
                  <c:v>0.54750690131124913</c:v>
                </c:pt>
                <c:pt idx="3">
                  <c:v>0.54500000000000004</c:v>
                </c:pt>
                <c:pt idx="4">
                  <c:v>0.54488888888888887</c:v>
                </c:pt>
                <c:pt idx="5">
                  <c:v>0.53549695740365111</c:v>
                </c:pt>
                <c:pt idx="6">
                  <c:v>0.52500000000000002</c:v>
                </c:pt>
                <c:pt idx="7">
                  <c:v>0.52500000000000002</c:v>
                </c:pt>
                <c:pt idx="8">
                  <c:v>0.5220588235294118</c:v>
                </c:pt>
                <c:pt idx="9">
                  <c:v>0.51570680628272247</c:v>
                </c:pt>
              </c:numCache>
            </c:numRef>
          </c:val>
          <c:extLst>
            <c:ext xmlns:c16="http://schemas.microsoft.com/office/drawing/2014/chart" uri="{C3380CC4-5D6E-409C-BE32-E72D297353CC}">
              <c16:uniqueId val="{00000000-0F78-4611-9FE3-C195BE2CCAC9}"/>
            </c:ext>
          </c:extLst>
        </c:ser>
        <c:dLbls>
          <c:showLegendKey val="0"/>
          <c:showVal val="0"/>
          <c:showCatName val="0"/>
          <c:showSerName val="0"/>
          <c:showPercent val="0"/>
          <c:showBubbleSize val="0"/>
        </c:dLbls>
        <c:gapWidth val="219"/>
        <c:overlap val="-27"/>
        <c:axId val="1060393280"/>
        <c:axId val="1060391360"/>
      </c:barChart>
      <c:catAx>
        <c:axId val="106039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91360"/>
        <c:crosses val="autoZero"/>
        <c:auto val="1"/>
        <c:lblAlgn val="ctr"/>
        <c:lblOffset val="100"/>
        <c:noMultiLvlLbl val="0"/>
      </c:catAx>
      <c:valAx>
        <c:axId val="1060391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39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2  Complete.xlsx]Reviews By Discount!PivotTable10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ysClr val="windowText" lastClr="000000"/>
                </a:solidFill>
              </a:rPr>
              <a:t>Number of Reviews By Discount Percentage</a:t>
            </a:r>
          </a:p>
        </c:rich>
      </c:tx>
      <c:layout>
        <c:manualLayout>
          <c:xMode val="edge"/>
          <c:yMode val="edge"/>
          <c:x val="0.15938188976377954"/>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'Reviews By Discount'!$B$3</c:f>
              <c:strCache>
                <c:ptCount val="1"/>
                <c:pt idx="0">
                  <c:v>Total</c:v>
                </c:pt>
              </c:strCache>
            </c:strRef>
          </c:tx>
          <c:spPr>
            <a:ln w="28575" cap="rnd">
              <a:solidFill>
                <a:schemeClr val="accent4"/>
              </a:solidFill>
              <a:round/>
            </a:ln>
            <a:effectLst/>
          </c:spPr>
          <c:marker>
            <c:symbol val="none"/>
          </c:marker>
          <c:cat>
            <c:strRef>
              <c:f>'Reviews By Discount'!$A$4:$A$28</c:f>
              <c:strCache>
                <c:ptCount val="24"/>
                <c:pt idx="0">
                  <c:v>0</c:v>
                </c:pt>
                <c:pt idx="1">
                  <c:v>1</c:v>
                </c:pt>
                <c:pt idx="2">
                  <c:v>2</c:v>
                </c:pt>
                <c:pt idx="3">
                  <c:v>3</c:v>
                </c:pt>
                <c:pt idx="4">
                  <c:v>5</c:v>
                </c:pt>
                <c:pt idx="5">
                  <c:v>6</c:v>
                </c:pt>
                <c:pt idx="6">
                  <c:v>7</c:v>
                </c:pt>
                <c:pt idx="7">
                  <c:v>9</c:v>
                </c:pt>
                <c:pt idx="8">
                  <c:v>10</c:v>
                </c:pt>
                <c:pt idx="9">
                  <c:v>12</c:v>
                </c:pt>
                <c:pt idx="10">
                  <c:v>13</c:v>
                </c:pt>
                <c:pt idx="11">
                  <c:v>14</c:v>
                </c:pt>
                <c:pt idx="12">
                  <c:v>15</c:v>
                </c:pt>
                <c:pt idx="13">
                  <c:v>16</c:v>
                </c:pt>
                <c:pt idx="14">
                  <c:v>17</c:v>
                </c:pt>
                <c:pt idx="15">
                  <c:v>20</c:v>
                </c:pt>
                <c:pt idx="16">
                  <c:v>24</c:v>
                </c:pt>
                <c:pt idx="17">
                  <c:v>32</c:v>
                </c:pt>
                <c:pt idx="18">
                  <c:v>36</c:v>
                </c:pt>
                <c:pt idx="19">
                  <c:v>39</c:v>
                </c:pt>
                <c:pt idx="20">
                  <c:v>44</c:v>
                </c:pt>
                <c:pt idx="21">
                  <c:v>49</c:v>
                </c:pt>
                <c:pt idx="22">
                  <c:v>55</c:v>
                </c:pt>
                <c:pt idx="23">
                  <c:v>69</c:v>
                </c:pt>
              </c:strCache>
            </c:strRef>
          </c:cat>
          <c:val>
            <c:numRef>
              <c:f>'Reviews By Discount'!$B$4:$B$28</c:f>
              <c:numCache>
                <c:formatCode>0.00%</c:formatCode>
                <c:ptCount val="24"/>
                <c:pt idx="0">
                  <c:v>0.34515064299323389</c:v>
                </c:pt>
                <c:pt idx="1">
                  <c:v>0.42395882967278092</c:v>
                </c:pt>
                <c:pt idx="2">
                  <c:v>0.43050321238987804</c:v>
                </c:pt>
                <c:pt idx="3">
                  <c:v>0.49005288340468395</c:v>
                </c:pt>
                <c:pt idx="4">
                  <c:v>0.36613240026038668</c:v>
                </c:pt>
                <c:pt idx="5">
                  <c:v>0.37418628794712316</c:v>
                </c:pt>
                <c:pt idx="6">
                  <c:v>0.47180022852514503</c:v>
                </c:pt>
                <c:pt idx="7">
                  <c:v>0.44064930912433081</c:v>
                </c:pt>
                <c:pt idx="8">
                  <c:v>0.53549695740365111</c:v>
                </c:pt>
                <c:pt idx="9">
                  <c:v>0.29774173196991993</c:v>
                </c:pt>
                <c:pt idx="10">
                  <c:v>0.46553601340033507</c:v>
                </c:pt>
                <c:pt idx="11">
                  <c:v>0.35251530600367809</c:v>
                </c:pt>
                <c:pt idx="12">
                  <c:v>0.30525433577686395</c:v>
                </c:pt>
                <c:pt idx="13">
                  <c:v>0.21543408360128619</c:v>
                </c:pt>
                <c:pt idx="14">
                  <c:v>0.45428571428571429</c:v>
                </c:pt>
                <c:pt idx="15">
                  <c:v>0.28222156787243202</c:v>
                </c:pt>
                <c:pt idx="16">
                  <c:v>0.24769072870338693</c:v>
                </c:pt>
                <c:pt idx="17">
                  <c:v>0.26639496109670247</c:v>
                </c:pt>
                <c:pt idx="18">
                  <c:v>0.40701219512195119</c:v>
                </c:pt>
                <c:pt idx="19">
                  <c:v>0.34</c:v>
                </c:pt>
                <c:pt idx="20">
                  <c:v>0.49237029501525942</c:v>
                </c:pt>
                <c:pt idx="21">
                  <c:v>0.3508500772797527</c:v>
                </c:pt>
                <c:pt idx="22">
                  <c:v>0.23515831134564644</c:v>
                </c:pt>
                <c:pt idx="23">
                  <c:v>0.49026345933562426</c:v>
                </c:pt>
              </c:numCache>
            </c:numRef>
          </c:val>
          <c:smooth val="0"/>
          <c:extLst>
            <c:ext xmlns:c16="http://schemas.microsoft.com/office/drawing/2014/chart" uri="{C3380CC4-5D6E-409C-BE32-E72D297353CC}">
              <c16:uniqueId val="{00000000-3C14-40CE-89BE-79C2D3AA444A}"/>
            </c:ext>
          </c:extLst>
        </c:ser>
        <c:dLbls>
          <c:showLegendKey val="0"/>
          <c:showVal val="0"/>
          <c:showCatName val="0"/>
          <c:showSerName val="0"/>
          <c:showPercent val="0"/>
          <c:showBubbleSize val="0"/>
        </c:dLbls>
        <c:smooth val="0"/>
        <c:axId val="1249708944"/>
        <c:axId val="1249710384"/>
      </c:lineChart>
      <c:catAx>
        <c:axId val="124970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10384"/>
        <c:crosses val="autoZero"/>
        <c:auto val="1"/>
        <c:lblAlgn val="ctr"/>
        <c:lblOffset val="100"/>
        <c:noMultiLvlLbl val="0"/>
      </c:catAx>
      <c:valAx>
        <c:axId val="1249710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0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2  Complete.xlsx]Number of Revie By Rating!PivotTable11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Number of Reviews Per Rating</a:t>
            </a:r>
          </a:p>
        </c:rich>
      </c:tx>
      <c:layout>
        <c:manualLayout>
          <c:xMode val="edge"/>
          <c:yMode val="edge"/>
          <c:x val="0.31123600174978128"/>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'Number of Revie By Rating'!$B$3</c:f>
              <c:strCache>
                <c:ptCount val="1"/>
                <c:pt idx="0">
                  <c:v>Total</c:v>
                </c:pt>
              </c:strCache>
            </c:strRef>
          </c:tx>
          <c:spPr>
            <a:solidFill>
              <a:schemeClr val="accent4"/>
            </a:solidFill>
            <a:ln>
              <a:noFill/>
            </a:ln>
            <a:effectLst/>
          </c:spPr>
          <c:invertIfNegative val="0"/>
          <c:cat>
            <c:strRef>
              <c:f>'Number of Revie By Rating'!$A$4:$A$27</c:f>
              <c:strCache>
                <c:ptCount val="23"/>
                <c:pt idx="0">
                  <c:v>4.6</c:v>
                </c:pt>
                <c:pt idx="1">
                  <c:v>4.7</c:v>
                </c:pt>
                <c:pt idx="2">
                  <c:v>2.8</c:v>
                </c:pt>
                <c:pt idx="3">
                  <c:v>4.3</c:v>
                </c:pt>
                <c:pt idx="4">
                  <c:v>4.1</c:v>
                </c:pt>
                <c:pt idx="5">
                  <c:v>4.5</c:v>
                </c:pt>
                <c:pt idx="6">
                  <c:v>3.8</c:v>
                </c:pt>
                <c:pt idx="7">
                  <c:v>3</c:v>
                </c:pt>
                <c:pt idx="8">
                  <c:v>4</c:v>
                </c:pt>
                <c:pt idx="9">
                  <c:v>4.8</c:v>
                </c:pt>
                <c:pt idx="10">
                  <c:v>2.1</c:v>
                </c:pt>
                <c:pt idx="11">
                  <c:v>2.6</c:v>
                </c:pt>
                <c:pt idx="12">
                  <c:v>2.9</c:v>
                </c:pt>
                <c:pt idx="13">
                  <c:v>2.7</c:v>
                </c:pt>
                <c:pt idx="14">
                  <c:v>4.4</c:v>
                </c:pt>
                <c:pt idx="15">
                  <c:v>2.3</c:v>
                </c:pt>
                <c:pt idx="16">
                  <c:v>3.3</c:v>
                </c:pt>
                <c:pt idx="17">
                  <c:v>5</c:v>
                </c:pt>
                <c:pt idx="18">
                  <c:v>2.2</c:v>
                </c:pt>
                <c:pt idx="19">
                  <c:v>4.2</c:v>
                </c:pt>
                <c:pt idx="20">
                  <c:v>2.5</c:v>
                </c:pt>
                <c:pt idx="21">
                  <c:v>2</c:v>
                </c:pt>
                <c:pt idx="22">
                  <c:v>3.9</c:v>
                </c:pt>
              </c:strCache>
            </c:strRef>
          </c:cat>
          <c:val>
            <c:numRef>
              <c:f>'Number of Revie By Rating'!$B$4:$B$27</c:f>
              <c:numCache>
                <c:formatCode>General</c:formatCode>
                <c:ptCount val="23"/>
                <c:pt idx="0">
                  <c:v>177</c:v>
                </c:pt>
                <c:pt idx="1">
                  <c:v>78</c:v>
                </c:pt>
                <c:pt idx="2">
                  <c:v>69</c:v>
                </c:pt>
                <c:pt idx="3">
                  <c:v>61</c:v>
                </c:pt>
                <c:pt idx="4">
                  <c:v>46</c:v>
                </c:pt>
                <c:pt idx="5">
                  <c:v>42</c:v>
                </c:pt>
                <c:pt idx="6">
                  <c:v>30</c:v>
                </c:pt>
                <c:pt idx="7">
                  <c:v>26</c:v>
                </c:pt>
                <c:pt idx="8">
                  <c:v>24</c:v>
                </c:pt>
                <c:pt idx="9">
                  <c:v>22</c:v>
                </c:pt>
                <c:pt idx="10">
                  <c:v>20</c:v>
                </c:pt>
                <c:pt idx="11">
                  <c:v>17</c:v>
                </c:pt>
                <c:pt idx="12">
                  <c:v>16</c:v>
                </c:pt>
                <c:pt idx="13">
                  <c:v>15</c:v>
                </c:pt>
                <c:pt idx="14">
                  <c:v>14</c:v>
                </c:pt>
                <c:pt idx="15">
                  <c:v>13</c:v>
                </c:pt>
                <c:pt idx="16">
                  <c:v>13</c:v>
                </c:pt>
                <c:pt idx="17">
                  <c:v>12</c:v>
                </c:pt>
                <c:pt idx="18">
                  <c:v>12</c:v>
                </c:pt>
                <c:pt idx="19">
                  <c:v>9</c:v>
                </c:pt>
                <c:pt idx="20">
                  <c:v>6</c:v>
                </c:pt>
                <c:pt idx="21">
                  <c:v>1</c:v>
                </c:pt>
                <c:pt idx="22">
                  <c:v>0</c:v>
                </c:pt>
              </c:numCache>
            </c:numRef>
          </c:val>
          <c:extLst>
            <c:ext xmlns:c16="http://schemas.microsoft.com/office/drawing/2014/chart" uri="{C3380CC4-5D6E-409C-BE32-E72D297353CC}">
              <c16:uniqueId val="{00000000-9377-479C-8267-198CF67C4C08}"/>
            </c:ext>
          </c:extLst>
        </c:ser>
        <c:dLbls>
          <c:showLegendKey val="0"/>
          <c:showVal val="0"/>
          <c:showCatName val="0"/>
          <c:showSerName val="0"/>
          <c:showPercent val="0"/>
          <c:showBubbleSize val="0"/>
        </c:dLbls>
        <c:gapWidth val="182"/>
        <c:axId val="1029516272"/>
        <c:axId val="1029514352"/>
      </c:barChart>
      <c:catAx>
        <c:axId val="10295162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514352"/>
        <c:crosses val="autoZero"/>
        <c:auto val="1"/>
        <c:lblAlgn val="ctr"/>
        <c:lblOffset val="100"/>
        <c:noMultiLvlLbl val="0"/>
      </c:catAx>
      <c:valAx>
        <c:axId val="102951435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51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2  Complete.xlsx]Number of Products By Rating!PivotTable1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ysClr val="windowText" lastClr="000000"/>
                </a:solidFill>
              </a:rPr>
              <a:t>Number of Products By Rating Category</a:t>
            </a:r>
          </a:p>
        </c:rich>
      </c:tx>
      <c:layout>
        <c:manualLayout>
          <c:xMode val="edge"/>
          <c:yMode val="edge"/>
          <c:x val="0.18647222222222223"/>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46981627296588"/>
          <c:y val="0.3142107757363663"/>
          <c:w val="0.65286351706036749"/>
          <c:h val="0.57838983668708077"/>
        </c:manualLayout>
      </c:layout>
      <c:barChart>
        <c:barDir val="col"/>
        <c:grouping val="clustered"/>
        <c:varyColors val="0"/>
        <c:ser>
          <c:idx val="0"/>
          <c:order val="0"/>
          <c:tx>
            <c:strRef>
              <c:f>'Number of Products By Rating'!$B$3</c:f>
              <c:strCache>
                <c:ptCount val="1"/>
                <c:pt idx="0">
                  <c:v>Total</c:v>
                </c:pt>
              </c:strCache>
            </c:strRef>
          </c:tx>
          <c:spPr>
            <a:solidFill>
              <a:schemeClr val="accent4"/>
            </a:solidFill>
            <a:ln>
              <a:noFill/>
            </a:ln>
            <a:effectLst/>
          </c:spPr>
          <c:invertIfNegative val="0"/>
          <c:cat>
            <c:strRef>
              <c:f>'Number of Products By Rating'!$A$4:$A$7</c:f>
              <c:strCache>
                <c:ptCount val="3"/>
                <c:pt idx="0">
                  <c:v>Medium</c:v>
                </c:pt>
                <c:pt idx="1">
                  <c:v>Excellent</c:v>
                </c:pt>
                <c:pt idx="2">
                  <c:v>Poor</c:v>
                </c:pt>
              </c:strCache>
            </c:strRef>
          </c:cat>
          <c:val>
            <c:numRef>
              <c:f>'Number of Products By Rating'!$B$4:$B$7</c:f>
              <c:numCache>
                <c:formatCode>General</c:formatCode>
                <c:ptCount val="3"/>
                <c:pt idx="0">
                  <c:v>77</c:v>
                </c:pt>
                <c:pt idx="1">
                  <c:v>23</c:v>
                </c:pt>
                <c:pt idx="2">
                  <c:v>12</c:v>
                </c:pt>
              </c:numCache>
            </c:numRef>
          </c:val>
          <c:extLst>
            <c:ext xmlns:c16="http://schemas.microsoft.com/office/drawing/2014/chart" uri="{C3380CC4-5D6E-409C-BE32-E72D297353CC}">
              <c16:uniqueId val="{00000000-9FB1-400F-889B-071BE22E9B7B}"/>
            </c:ext>
          </c:extLst>
        </c:ser>
        <c:dLbls>
          <c:showLegendKey val="0"/>
          <c:showVal val="0"/>
          <c:showCatName val="0"/>
          <c:showSerName val="0"/>
          <c:showPercent val="0"/>
          <c:showBubbleSize val="0"/>
        </c:dLbls>
        <c:gapWidth val="219"/>
        <c:axId val="795041632"/>
        <c:axId val="795043072"/>
      </c:barChart>
      <c:catAx>
        <c:axId val="79504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043072"/>
        <c:crosses val="autoZero"/>
        <c:auto val="1"/>
        <c:lblAlgn val="ctr"/>
        <c:lblOffset val="100"/>
        <c:noMultiLvlLbl val="0"/>
      </c:catAx>
      <c:valAx>
        <c:axId val="79504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041632"/>
        <c:crosses val="autoZero"/>
        <c:crossBetween val="between"/>
      </c:valAx>
      <c:spPr>
        <a:noFill/>
        <a:ln>
          <a:noFill/>
        </a:ln>
        <a:effectLst/>
      </c:spPr>
    </c:plotArea>
    <c:legend>
      <c:legendPos val="r"/>
      <c:layout>
        <c:manualLayout>
          <c:xMode val="edge"/>
          <c:yMode val="edge"/>
          <c:x val="0.8472222222222221"/>
          <c:y val="0.45535797608632256"/>
          <c:w val="0.1361111111111111"/>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[Assignment 2  Complete.xlsx]Product Count By discount Categ!PivotTable2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ysClr val="windowText" lastClr="000000"/>
                </a:solidFill>
              </a:rPr>
              <a:t>Product Count By Discount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'Product Count By discount Categ'!$B$3</c:f>
              <c:strCache>
                <c:ptCount val="1"/>
                <c:pt idx="0">
                  <c:v>Total</c:v>
                </c:pt>
              </c:strCache>
            </c:strRef>
          </c:tx>
          <c:dPt>
            <c:idx val="0"/>
            <c:bubble3D val="0"/>
            <c:spPr>
              <a:solidFill>
                <a:schemeClr val="accent4">
                  <a:shade val="65000"/>
                </a:schemeClr>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4">
                  <a:tint val="65000"/>
                </a:schemeClr>
              </a:solidFill>
              <a:ln w="19050">
                <a:solidFill>
                  <a:schemeClr val="lt1"/>
                </a:solidFill>
              </a:ln>
              <a:effectLst/>
            </c:spPr>
          </c:dPt>
          <c:cat>
            <c:strRef>
              <c:f>'Product Count By discount Categ'!$A$4:$A$7</c:f>
              <c:strCache>
                <c:ptCount val="3"/>
                <c:pt idx="0">
                  <c:v>High</c:v>
                </c:pt>
                <c:pt idx="1">
                  <c:v>Medium</c:v>
                </c:pt>
                <c:pt idx="2">
                  <c:v>Low</c:v>
                </c:pt>
              </c:strCache>
            </c:strRef>
          </c:cat>
          <c:val>
            <c:numRef>
              <c:f>'Product Count By discount Categ'!$B$4:$B$7</c:f>
              <c:numCache>
                <c:formatCode>General</c:formatCode>
                <c:ptCount val="3"/>
                <c:pt idx="0">
                  <c:v>62</c:v>
                </c:pt>
                <c:pt idx="1">
                  <c:v>32</c:v>
                </c:pt>
                <c:pt idx="2">
                  <c:v>18</c:v>
                </c:pt>
              </c:numCache>
            </c:numRef>
          </c:val>
          <c:extLst>
            <c:ext xmlns:c16="http://schemas.microsoft.com/office/drawing/2014/chart" uri="{C3380CC4-5D6E-409C-BE32-E72D297353CC}">
              <c16:uniqueId val="{00000000-EF6D-40F7-A9A3-B05145E4096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Complete.xlsx]Customer Engagement by DL!PivotTable1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FF0000"/>
                </a:solidFill>
              </a:rPr>
              <a:t>Average Number</a:t>
            </a:r>
            <a:r>
              <a:rPr lang="en-GB" b="1" baseline="0">
                <a:solidFill>
                  <a:srgbClr val="FF0000"/>
                </a:solidFill>
              </a:rPr>
              <a:t> of Reviews By Discount Level</a:t>
            </a:r>
            <a:endParaRPr lang="en-GB" b="1">
              <a:solidFill>
                <a:srgbClr val="FF0000"/>
              </a:solidFill>
            </a:endParaRPr>
          </a:p>
        </c:rich>
      </c:tx>
      <c:layout>
        <c:manualLayout>
          <c:xMode val="edge"/>
          <c:yMode val="edge"/>
          <c:x val="0.15299120085491097"/>
          <c:y val="8.253813727829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Engagement by DL'!$B$3</c:f>
              <c:strCache>
                <c:ptCount val="1"/>
                <c:pt idx="0">
                  <c:v>Total</c:v>
                </c:pt>
              </c:strCache>
            </c:strRef>
          </c:tx>
          <c:spPr>
            <a:ln w="28575" cap="rnd">
              <a:solidFill>
                <a:schemeClr val="accent1"/>
              </a:solidFill>
              <a:round/>
            </a:ln>
            <a:effectLst/>
          </c:spPr>
          <c:marker>
            <c:symbol val="none"/>
          </c:marker>
          <c:cat>
            <c:strRef>
              <c:f>'Customer Engagement by DL'!$A$4:$A$109</c:f>
              <c:strCache>
                <c:ptCount val="105"/>
                <c:pt idx="0">
                  <c:v>1.26%</c:v>
                </c:pt>
                <c:pt idx="1">
                  <c:v>1.71%</c:v>
                </c:pt>
                <c:pt idx="2">
                  <c:v>1.72%</c:v>
                </c:pt>
                <c:pt idx="3">
                  <c:v>1.94%</c:v>
                </c:pt>
                <c:pt idx="4">
                  <c:v>2.30%</c:v>
                </c:pt>
                <c:pt idx="5">
                  <c:v>2.41%</c:v>
                </c:pt>
                <c:pt idx="6">
                  <c:v>2.47%</c:v>
                </c:pt>
                <c:pt idx="7">
                  <c:v>2.67%</c:v>
                </c:pt>
                <c:pt idx="8">
                  <c:v>3.72%</c:v>
                </c:pt>
                <c:pt idx="9">
                  <c:v>4.14%</c:v>
                </c:pt>
                <c:pt idx="10">
                  <c:v>8.07%</c:v>
                </c:pt>
                <c:pt idx="11">
                  <c:v>8.84%</c:v>
                </c:pt>
                <c:pt idx="12">
                  <c:v>11.22%</c:v>
                </c:pt>
                <c:pt idx="13">
                  <c:v>13.20%</c:v>
                </c:pt>
                <c:pt idx="14">
                  <c:v>13.60%</c:v>
                </c:pt>
                <c:pt idx="15">
                  <c:v>13.71%</c:v>
                </c:pt>
                <c:pt idx="16">
                  <c:v>18.18%</c:v>
                </c:pt>
                <c:pt idx="17">
                  <c:v>18.92%</c:v>
                </c:pt>
                <c:pt idx="18">
                  <c:v>20.02%</c:v>
                </c:pt>
                <c:pt idx="19">
                  <c:v>20.66%</c:v>
                </c:pt>
                <c:pt idx="20">
                  <c:v>21.54%</c:v>
                </c:pt>
                <c:pt idx="21">
                  <c:v>22.14%</c:v>
                </c:pt>
                <c:pt idx="22">
                  <c:v>23.26%</c:v>
                </c:pt>
                <c:pt idx="23">
                  <c:v>23.52%</c:v>
                </c:pt>
                <c:pt idx="24">
                  <c:v>23.85%</c:v>
                </c:pt>
                <c:pt idx="25">
                  <c:v>24.77%</c:v>
                </c:pt>
                <c:pt idx="26">
                  <c:v>26.15%</c:v>
                </c:pt>
                <c:pt idx="27">
                  <c:v>26.54%</c:v>
                </c:pt>
                <c:pt idx="28">
                  <c:v>26.64%</c:v>
                </c:pt>
                <c:pt idx="29">
                  <c:v>26.79%</c:v>
                </c:pt>
                <c:pt idx="30">
                  <c:v>29.01%</c:v>
                </c:pt>
                <c:pt idx="31">
                  <c:v>29.65%</c:v>
                </c:pt>
                <c:pt idx="32">
                  <c:v>32.16%</c:v>
                </c:pt>
                <c:pt idx="33">
                  <c:v>32.77%</c:v>
                </c:pt>
                <c:pt idx="34">
                  <c:v>33.33%</c:v>
                </c:pt>
                <c:pt idx="35">
                  <c:v>33.79%</c:v>
                </c:pt>
                <c:pt idx="36">
                  <c:v>34.00%</c:v>
                </c:pt>
                <c:pt idx="37">
                  <c:v>34.23%</c:v>
                </c:pt>
                <c:pt idx="38">
                  <c:v>34.25%</c:v>
                </c:pt>
                <c:pt idx="39">
                  <c:v>34.81%</c:v>
                </c:pt>
                <c:pt idx="40">
                  <c:v>35.09%</c:v>
                </c:pt>
                <c:pt idx="41">
                  <c:v>36.24%</c:v>
                </c:pt>
                <c:pt idx="42">
                  <c:v>36.77%</c:v>
                </c:pt>
                <c:pt idx="43">
                  <c:v>37.47%</c:v>
                </c:pt>
                <c:pt idx="44">
                  <c:v>37.70%</c:v>
                </c:pt>
                <c:pt idx="45">
                  <c:v>38.46%</c:v>
                </c:pt>
                <c:pt idx="46">
                  <c:v>38.49%</c:v>
                </c:pt>
                <c:pt idx="47">
                  <c:v>38.95%</c:v>
                </c:pt>
                <c:pt idx="48">
                  <c:v>39.78%</c:v>
                </c:pt>
                <c:pt idx="49">
                  <c:v>40.51%</c:v>
                </c:pt>
                <c:pt idx="50">
                  <c:v>40.70%</c:v>
                </c:pt>
                <c:pt idx="51">
                  <c:v>41.32%</c:v>
                </c:pt>
                <c:pt idx="52">
                  <c:v>41.74%</c:v>
                </c:pt>
                <c:pt idx="53">
                  <c:v>42.24%</c:v>
                </c:pt>
                <c:pt idx="54">
                  <c:v>42.37%</c:v>
                </c:pt>
                <c:pt idx="55">
                  <c:v>42.45%</c:v>
                </c:pt>
                <c:pt idx="56">
                  <c:v>42.50%</c:v>
                </c:pt>
                <c:pt idx="57">
                  <c:v>42.69%</c:v>
                </c:pt>
                <c:pt idx="58">
                  <c:v>42.73%</c:v>
                </c:pt>
                <c:pt idx="59">
                  <c:v>43.38%</c:v>
                </c:pt>
                <c:pt idx="60">
                  <c:v>44.56%</c:v>
                </c:pt>
                <c:pt idx="61">
                  <c:v>45.37%</c:v>
                </c:pt>
                <c:pt idx="62">
                  <c:v>45.42%</c:v>
                </c:pt>
                <c:pt idx="63">
                  <c:v>45.43%</c:v>
                </c:pt>
                <c:pt idx="64">
                  <c:v>45.83%</c:v>
                </c:pt>
                <c:pt idx="65">
                  <c:v>45.93%</c:v>
                </c:pt>
                <c:pt idx="66">
                  <c:v>46.08%</c:v>
                </c:pt>
                <c:pt idx="67">
                  <c:v>46.64%</c:v>
                </c:pt>
                <c:pt idx="68">
                  <c:v>46.67%</c:v>
                </c:pt>
                <c:pt idx="69">
                  <c:v>46.80%</c:v>
                </c:pt>
                <c:pt idx="70">
                  <c:v>47.09%</c:v>
                </c:pt>
                <c:pt idx="71">
                  <c:v>47.19%</c:v>
                </c:pt>
                <c:pt idx="72">
                  <c:v>47.25%</c:v>
                </c:pt>
                <c:pt idx="73">
                  <c:v>47.46%</c:v>
                </c:pt>
                <c:pt idx="74">
                  <c:v>47.50%</c:v>
                </c:pt>
                <c:pt idx="75">
                  <c:v>47.85%</c:v>
                </c:pt>
                <c:pt idx="76">
                  <c:v>47.95%</c:v>
                </c:pt>
                <c:pt idx="77">
                  <c:v>48.00%</c:v>
                </c:pt>
                <c:pt idx="78">
                  <c:v>48.89%</c:v>
                </c:pt>
                <c:pt idx="79">
                  <c:v>48.97%</c:v>
                </c:pt>
                <c:pt idx="80">
                  <c:v>48.98%</c:v>
                </c:pt>
                <c:pt idx="81">
                  <c:v>48.98%</c:v>
                </c:pt>
                <c:pt idx="82">
                  <c:v>48.99%</c:v>
                </c:pt>
                <c:pt idx="83">
                  <c:v>48.99%</c:v>
                </c:pt>
                <c:pt idx="84">
                  <c:v>49.00%</c:v>
                </c:pt>
                <c:pt idx="85">
                  <c:v>49.01%</c:v>
                </c:pt>
                <c:pt idx="86">
                  <c:v>49.01%</c:v>
                </c:pt>
                <c:pt idx="87">
                  <c:v>49.01%</c:v>
                </c:pt>
                <c:pt idx="88">
                  <c:v>49.01%</c:v>
                </c:pt>
                <c:pt idx="89">
                  <c:v>49.03%</c:v>
                </c:pt>
                <c:pt idx="90">
                  <c:v>49.24%</c:v>
                </c:pt>
                <c:pt idx="91">
                  <c:v>50.00%</c:v>
                </c:pt>
                <c:pt idx="92">
                  <c:v>50.05%</c:v>
                </c:pt>
                <c:pt idx="93">
                  <c:v>50.17%</c:v>
                </c:pt>
                <c:pt idx="94">
                  <c:v>51.46%</c:v>
                </c:pt>
                <c:pt idx="95">
                  <c:v>51.57%</c:v>
                </c:pt>
                <c:pt idx="96">
                  <c:v>52.21%</c:v>
                </c:pt>
                <c:pt idx="97">
                  <c:v>52.50%</c:v>
                </c:pt>
                <c:pt idx="98">
                  <c:v>53.55%</c:v>
                </c:pt>
                <c:pt idx="99">
                  <c:v>54.49%</c:v>
                </c:pt>
                <c:pt idx="100">
                  <c:v>54.50%</c:v>
                </c:pt>
                <c:pt idx="101">
                  <c:v>55.00%</c:v>
                </c:pt>
                <c:pt idx="102">
                  <c:v>55.47%</c:v>
                </c:pt>
                <c:pt idx="103">
                  <c:v>60.52%</c:v>
                </c:pt>
                <c:pt idx="104">
                  <c:v>64.01%</c:v>
                </c:pt>
              </c:strCache>
            </c:strRef>
          </c:cat>
          <c:val>
            <c:numRef>
              <c:f>'Customer Engagement by DL'!$B$4:$B$109</c:f>
              <c:numCache>
                <c:formatCode>General</c:formatCode>
                <c:ptCount val="105"/>
                <c:pt idx="0">
                  <c:v>0</c:v>
                </c:pt>
                <c:pt idx="1">
                  <c:v>0</c:v>
                </c:pt>
                <c:pt idx="2">
                  <c:v>0</c:v>
                </c:pt>
                <c:pt idx="3">
                  <c:v>0</c:v>
                </c:pt>
                <c:pt idx="4">
                  <c:v>0</c:v>
                </c:pt>
                <c:pt idx="5">
                  <c:v>0</c:v>
                </c:pt>
                <c:pt idx="6">
                  <c:v>0</c:v>
                </c:pt>
                <c:pt idx="7">
                  <c:v>0</c:v>
                </c:pt>
                <c:pt idx="8">
                  <c:v>0</c:v>
                </c:pt>
                <c:pt idx="9">
                  <c:v>0</c:v>
                </c:pt>
                <c:pt idx="10">
                  <c:v>0</c:v>
                </c:pt>
                <c:pt idx="11">
                  <c:v>15</c:v>
                </c:pt>
                <c:pt idx="12">
                  <c:v>0</c:v>
                </c:pt>
                <c:pt idx="13">
                  <c:v>6</c:v>
                </c:pt>
                <c:pt idx="14">
                  <c:v>0</c:v>
                </c:pt>
                <c:pt idx="15">
                  <c:v>0</c:v>
                </c:pt>
                <c:pt idx="16">
                  <c:v>12</c:v>
                </c:pt>
                <c:pt idx="17">
                  <c:v>5</c:v>
                </c:pt>
                <c:pt idx="18">
                  <c:v>12</c:v>
                </c:pt>
                <c:pt idx="19">
                  <c:v>1</c:v>
                </c:pt>
                <c:pt idx="20">
                  <c:v>16</c:v>
                </c:pt>
                <c:pt idx="21">
                  <c:v>0</c:v>
                </c:pt>
                <c:pt idx="22">
                  <c:v>14</c:v>
                </c:pt>
                <c:pt idx="23">
                  <c:v>55</c:v>
                </c:pt>
                <c:pt idx="24">
                  <c:v>0</c:v>
                </c:pt>
                <c:pt idx="25">
                  <c:v>24</c:v>
                </c:pt>
                <c:pt idx="26">
                  <c:v>5</c:v>
                </c:pt>
                <c:pt idx="27">
                  <c:v>0</c:v>
                </c:pt>
                <c:pt idx="28">
                  <c:v>32</c:v>
                </c:pt>
                <c:pt idx="29">
                  <c:v>20</c:v>
                </c:pt>
                <c:pt idx="30">
                  <c:v>5</c:v>
                </c:pt>
                <c:pt idx="31">
                  <c:v>20</c:v>
                </c:pt>
                <c:pt idx="32">
                  <c:v>13</c:v>
                </c:pt>
                <c:pt idx="33">
                  <c:v>9</c:v>
                </c:pt>
                <c:pt idx="34">
                  <c:v>1</c:v>
                </c:pt>
                <c:pt idx="35">
                  <c:v>0</c:v>
                </c:pt>
                <c:pt idx="36">
                  <c:v>39</c:v>
                </c:pt>
                <c:pt idx="37">
                  <c:v>12</c:v>
                </c:pt>
                <c:pt idx="38">
                  <c:v>0</c:v>
                </c:pt>
                <c:pt idx="39">
                  <c:v>6</c:v>
                </c:pt>
                <c:pt idx="40">
                  <c:v>49</c:v>
                </c:pt>
                <c:pt idx="41">
                  <c:v>0</c:v>
                </c:pt>
                <c:pt idx="42">
                  <c:v>7</c:v>
                </c:pt>
                <c:pt idx="43">
                  <c:v>2</c:v>
                </c:pt>
                <c:pt idx="44">
                  <c:v>2</c:v>
                </c:pt>
                <c:pt idx="45">
                  <c:v>0</c:v>
                </c:pt>
                <c:pt idx="46">
                  <c:v>0</c:v>
                </c:pt>
                <c:pt idx="47">
                  <c:v>5</c:v>
                </c:pt>
                <c:pt idx="48">
                  <c:v>1</c:v>
                </c:pt>
                <c:pt idx="49">
                  <c:v>0</c:v>
                </c:pt>
                <c:pt idx="50">
                  <c:v>36</c:v>
                </c:pt>
                <c:pt idx="51">
                  <c:v>0</c:v>
                </c:pt>
                <c:pt idx="52">
                  <c:v>6</c:v>
                </c:pt>
                <c:pt idx="53">
                  <c:v>0</c:v>
                </c:pt>
                <c:pt idx="54">
                  <c:v>0</c:v>
                </c:pt>
                <c:pt idx="55">
                  <c:v>0</c:v>
                </c:pt>
                <c:pt idx="56">
                  <c:v>0</c:v>
                </c:pt>
                <c:pt idx="57">
                  <c:v>6</c:v>
                </c:pt>
                <c:pt idx="58">
                  <c:v>0</c:v>
                </c:pt>
                <c:pt idx="59">
                  <c:v>5</c:v>
                </c:pt>
                <c:pt idx="60">
                  <c:v>0</c:v>
                </c:pt>
                <c:pt idx="61">
                  <c:v>5</c:v>
                </c:pt>
                <c:pt idx="62">
                  <c:v>6</c:v>
                </c:pt>
                <c:pt idx="63">
                  <c:v>17</c:v>
                </c:pt>
                <c:pt idx="64">
                  <c:v>2</c:v>
                </c:pt>
                <c:pt idx="65">
                  <c:v>1</c:v>
                </c:pt>
                <c:pt idx="66">
                  <c:v>0</c:v>
                </c:pt>
                <c:pt idx="67">
                  <c:v>6</c:v>
                </c:pt>
                <c:pt idx="68">
                  <c:v>12</c:v>
                </c:pt>
                <c:pt idx="69">
                  <c:v>0</c:v>
                </c:pt>
                <c:pt idx="70">
                  <c:v>0</c:v>
                </c:pt>
                <c:pt idx="71">
                  <c:v>0</c:v>
                </c:pt>
                <c:pt idx="72">
                  <c:v>14</c:v>
                </c:pt>
                <c:pt idx="73">
                  <c:v>7</c:v>
                </c:pt>
                <c:pt idx="74">
                  <c:v>0</c:v>
                </c:pt>
                <c:pt idx="75">
                  <c:v>9</c:v>
                </c:pt>
                <c:pt idx="76">
                  <c:v>0</c:v>
                </c:pt>
                <c:pt idx="77">
                  <c:v>0</c:v>
                </c:pt>
                <c:pt idx="78">
                  <c:v>0</c:v>
                </c:pt>
                <c:pt idx="79">
                  <c:v>0</c:v>
                </c:pt>
                <c:pt idx="80">
                  <c:v>0</c:v>
                </c:pt>
                <c:pt idx="81">
                  <c:v>0</c:v>
                </c:pt>
                <c:pt idx="82">
                  <c:v>0</c:v>
                </c:pt>
                <c:pt idx="83">
                  <c:v>0</c:v>
                </c:pt>
                <c:pt idx="84">
                  <c:v>1</c:v>
                </c:pt>
                <c:pt idx="85">
                  <c:v>3</c:v>
                </c:pt>
                <c:pt idx="86">
                  <c:v>1</c:v>
                </c:pt>
                <c:pt idx="87">
                  <c:v>0</c:v>
                </c:pt>
                <c:pt idx="88">
                  <c:v>0</c:v>
                </c:pt>
                <c:pt idx="89">
                  <c:v>69</c:v>
                </c:pt>
                <c:pt idx="90">
                  <c:v>44</c:v>
                </c:pt>
                <c:pt idx="91">
                  <c:v>1.6</c:v>
                </c:pt>
                <c:pt idx="92">
                  <c:v>0</c:v>
                </c:pt>
                <c:pt idx="93">
                  <c:v>0</c:v>
                </c:pt>
                <c:pt idx="94">
                  <c:v>2</c:v>
                </c:pt>
                <c:pt idx="95">
                  <c:v>9</c:v>
                </c:pt>
                <c:pt idx="96">
                  <c:v>15</c:v>
                </c:pt>
                <c:pt idx="97">
                  <c:v>7.5</c:v>
                </c:pt>
                <c:pt idx="98">
                  <c:v>10</c:v>
                </c:pt>
                <c:pt idx="99">
                  <c:v>7</c:v>
                </c:pt>
                <c:pt idx="100">
                  <c:v>5</c:v>
                </c:pt>
                <c:pt idx="101">
                  <c:v>13</c:v>
                </c:pt>
                <c:pt idx="102">
                  <c:v>0</c:v>
                </c:pt>
                <c:pt idx="103">
                  <c:v>0</c:v>
                </c:pt>
                <c:pt idx="104">
                  <c:v>0</c:v>
                </c:pt>
              </c:numCache>
            </c:numRef>
          </c:val>
          <c:smooth val="0"/>
          <c:extLst>
            <c:ext xmlns:c16="http://schemas.microsoft.com/office/drawing/2014/chart" uri="{C3380CC4-5D6E-409C-BE32-E72D297353CC}">
              <c16:uniqueId val="{00000000-EF8C-4213-8370-496E46261F67}"/>
            </c:ext>
          </c:extLst>
        </c:ser>
        <c:dLbls>
          <c:showLegendKey val="0"/>
          <c:showVal val="0"/>
          <c:showCatName val="0"/>
          <c:showSerName val="0"/>
          <c:showPercent val="0"/>
          <c:showBubbleSize val="0"/>
        </c:dLbls>
        <c:smooth val="0"/>
        <c:axId val="113906367"/>
        <c:axId val="113908287"/>
      </c:lineChart>
      <c:catAx>
        <c:axId val="11390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08287"/>
        <c:crosses val="autoZero"/>
        <c:auto val="1"/>
        <c:lblAlgn val="ctr"/>
        <c:lblOffset val="100"/>
        <c:noMultiLvlLbl val="0"/>
      </c:catAx>
      <c:valAx>
        <c:axId val="11390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0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Complete.xlsx]Rating By Review!PivotTable4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Total Reviews By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By Review'!$B$3</c:f>
              <c:strCache>
                <c:ptCount val="1"/>
                <c:pt idx="0">
                  <c:v>Total</c:v>
                </c:pt>
              </c:strCache>
            </c:strRef>
          </c:tx>
          <c:spPr>
            <a:solidFill>
              <a:schemeClr val="accent1"/>
            </a:solidFill>
            <a:ln>
              <a:noFill/>
            </a:ln>
            <a:effectLst/>
          </c:spPr>
          <c:invertIfNegative val="0"/>
          <c:cat>
            <c:strRef>
              <c:f>'Rating By Review'!$A$4:$A$27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3.9</c:v>
                </c:pt>
                <c:pt idx="13">
                  <c:v>4</c:v>
                </c:pt>
                <c:pt idx="14">
                  <c:v>4.1</c:v>
                </c:pt>
                <c:pt idx="15">
                  <c:v>4.2</c:v>
                </c:pt>
                <c:pt idx="16">
                  <c:v>4.3</c:v>
                </c:pt>
                <c:pt idx="17">
                  <c:v>4.4</c:v>
                </c:pt>
                <c:pt idx="18">
                  <c:v>4.5</c:v>
                </c:pt>
                <c:pt idx="19">
                  <c:v>4.6</c:v>
                </c:pt>
                <c:pt idx="20">
                  <c:v>4.7</c:v>
                </c:pt>
                <c:pt idx="21">
                  <c:v>4.8</c:v>
                </c:pt>
                <c:pt idx="22">
                  <c:v>5</c:v>
                </c:pt>
              </c:strCache>
            </c:strRef>
          </c:cat>
          <c:val>
            <c:numRef>
              <c:f>'Rating By Review'!$B$4:$B$27</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0</c:v>
                </c:pt>
                <c:pt idx="13">
                  <c:v>24</c:v>
                </c:pt>
                <c:pt idx="14">
                  <c:v>46</c:v>
                </c:pt>
                <c:pt idx="15">
                  <c:v>9</c:v>
                </c:pt>
                <c:pt idx="16">
                  <c:v>61</c:v>
                </c:pt>
                <c:pt idx="17">
                  <c:v>14</c:v>
                </c:pt>
                <c:pt idx="18">
                  <c:v>42</c:v>
                </c:pt>
                <c:pt idx="19">
                  <c:v>177</c:v>
                </c:pt>
                <c:pt idx="20">
                  <c:v>78</c:v>
                </c:pt>
                <c:pt idx="21">
                  <c:v>22</c:v>
                </c:pt>
                <c:pt idx="22">
                  <c:v>12</c:v>
                </c:pt>
              </c:numCache>
            </c:numRef>
          </c:val>
          <c:extLst>
            <c:ext xmlns:c16="http://schemas.microsoft.com/office/drawing/2014/chart" uri="{C3380CC4-5D6E-409C-BE32-E72D297353CC}">
              <c16:uniqueId val="{00000000-E2BF-4D5F-AE78-B01F0430342F}"/>
            </c:ext>
          </c:extLst>
        </c:ser>
        <c:dLbls>
          <c:showLegendKey val="0"/>
          <c:showVal val="0"/>
          <c:showCatName val="0"/>
          <c:showSerName val="0"/>
          <c:showPercent val="0"/>
          <c:showBubbleSize val="0"/>
        </c:dLbls>
        <c:gapWidth val="219"/>
        <c:overlap val="-27"/>
        <c:axId val="126173519"/>
        <c:axId val="126161519"/>
      </c:barChart>
      <c:catAx>
        <c:axId val="12617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61519"/>
        <c:crosses val="autoZero"/>
        <c:auto val="1"/>
        <c:lblAlgn val="ctr"/>
        <c:lblOffset val="100"/>
        <c:noMultiLvlLbl val="0"/>
      </c:catAx>
      <c:valAx>
        <c:axId val="12616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7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Number</a:t>
            </a:r>
            <a:r>
              <a:rPr lang="en-US" b="1" baseline="0">
                <a:solidFill>
                  <a:srgbClr val="FF0000"/>
                </a:solidFill>
              </a:rPr>
              <a:t> of  Reviews Per Discount Percentage</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'Assignment 2'!$I$1</c:f>
              <c:strCache>
                <c:ptCount val="1"/>
                <c:pt idx="0">
                  <c:v>New 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layout>
                <c:manualLayout>
                  <c:x val="8.1986001749781282E-2"/>
                  <c:y val="-0.1093128770202039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'Assignment 2'!$D$2:$D$113</c:f>
              <c:numCache>
                <c:formatCode>0.00%</c:formatCode>
                <c:ptCount val="112"/>
                <c:pt idx="0">
                  <c:v>0.38954908025394758</c:v>
                </c:pt>
                <c:pt idx="1">
                  <c:v>0.20662598081952921</c:v>
                </c:pt>
                <c:pt idx="2">
                  <c:v>4.1362530413625302E-2</c:v>
                </c:pt>
                <c:pt idx="3">
                  <c:v>8.8449848024316116E-2</c:v>
                </c:pt>
                <c:pt idx="4">
                  <c:v>0.18924033522573669</c:v>
                </c:pt>
                <c:pt idx="5">
                  <c:v>0.18181818181818182</c:v>
                </c:pt>
                <c:pt idx="6">
                  <c:v>0.26535433070866143</c:v>
                </c:pt>
                <c:pt idx="7">
                  <c:v>0.38492507269067322</c:v>
                </c:pt>
                <c:pt idx="8">
                  <c:v>0.23515831134564644</c:v>
                </c:pt>
                <c:pt idx="9">
                  <c:v>0.29012345679012347</c:v>
                </c:pt>
                <c:pt idx="10">
                  <c:v>0.46078431372549017</c:v>
                </c:pt>
                <c:pt idx="11">
                  <c:v>0.24769072870338693</c:v>
                </c:pt>
                <c:pt idx="12">
                  <c:v>0.13200000000000001</c:v>
                </c:pt>
                <c:pt idx="13">
                  <c:v>1.705855232826187E-2</c:v>
                </c:pt>
                <c:pt idx="14">
                  <c:v>0.55000000000000004</c:v>
                </c:pt>
                <c:pt idx="15">
                  <c:v>0.54488888888888887</c:v>
                </c:pt>
                <c:pt idx="16">
                  <c:v>0.49005288340468395</c:v>
                </c:pt>
                <c:pt idx="17">
                  <c:v>0.26639496109670247</c:v>
                </c:pt>
                <c:pt idx="18">
                  <c:v>0.26792452830188679</c:v>
                </c:pt>
                <c:pt idx="19">
                  <c:v>1.2638230647709321E-2</c:v>
                </c:pt>
                <c:pt idx="20">
                  <c:v>0.42236024844720499</c:v>
                </c:pt>
                <c:pt idx="21">
                  <c:v>0.47851002865329512</c:v>
                </c:pt>
                <c:pt idx="22">
                  <c:v>0.33333333333333331</c:v>
                </c:pt>
                <c:pt idx="23">
                  <c:v>1.7231795441912175E-2</c:v>
                </c:pt>
                <c:pt idx="24">
                  <c:v>0.2965186074429772</c:v>
                </c:pt>
                <c:pt idx="25">
                  <c:v>0.26146010186757218</c:v>
                </c:pt>
                <c:pt idx="26">
                  <c:v>3.7242912729294052E-2</c:v>
                </c:pt>
                <c:pt idx="27">
                  <c:v>0.32773109243697479</c:v>
                </c:pt>
                <c:pt idx="28">
                  <c:v>1.9423190111830489E-2</c:v>
                </c:pt>
                <c:pt idx="29">
                  <c:v>2.2954679223072396E-2</c:v>
                </c:pt>
                <c:pt idx="30">
                  <c:v>2.4131842260153032E-2</c:v>
                </c:pt>
                <c:pt idx="31">
                  <c:v>0.23255813953488372</c:v>
                </c:pt>
                <c:pt idx="32">
                  <c:v>0.39776951672862454</c:v>
                </c:pt>
                <c:pt idx="33">
                  <c:v>0.45373847729600547</c:v>
                </c:pt>
                <c:pt idx="34">
                  <c:v>0.36774709883953582</c:v>
                </c:pt>
                <c:pt idx="35">
                  <c:v>0.4745649263721553</c:v>
                </c:pt>
                <c:pt idx="36">
                  <c:v>8.0722891566265054E-2</c:v>
                </c:pt>
                <c:pt idx="37">
                  <c:v>0.13596233078281342</c:v>
                </c:pt>
                <c:pt idx="38">
                  <c:v>0.13713949381989404</c:v>
                </c:pt>
                <c:pt idx="39">
                  <c:v>2.4683122081387593E-2</c:v>
                </c:pt>
                <c:pt idx="40">
                  <c:v>0.36244541484716158</c:v>
                </c:pt>
                <c:pt idx="41">
                  <c:v>2.6684456304202801E-2</c:v>
                </c:pt>
                <c:pt idx="42">
                  <c:v>0.41322314049586778</c:v>
                </c:pt>
                <c:pt idx="43">
                  <c:v>0.32160804020100503</c:v>
                </c:pt>
                <c:pt idx="44">
                  <c:v>0.48</c:v>
                </c:pt>
                <c:pt idx="45">
                  <c:v>0.54500000000000004</c:v>
                </c:pt>
                <c:pt idx="46">
                  <c:v>0.21543408360128619</c:v>
                </c:pt>
                <c:pt idx="47">
                  <c:v>0.5</c:v>
                </c:pt>
                <c:pt idx="48">
                  <c:v>0.38461538461538464</c:v>
                </c:pt>
                <c:pt idx="49">
                  <c:v>0.33333333333333331</c:v>
                </c:pt>
                <c:pt idx="50">
                  <c:v>0.34254143646408841</c:v>
                </c:pt>
                <c:pt idx="51">
                  <c:v>0.45929968167348795</c:v>
                </c:pt>
                <c:pt idx="52">
                  <c:v>0.3379389752446747</c:v>
                </c:pt>
                <c:pt idx="53">
                  <c:v>0.42369263607257202</c:v>
                </c:pt>
                <c:pt idx="54">
                  <c:v>0.5</c:v>
                </c:pt>
                <c:pt idx="55">
                  <c:v>0.50049999999999994</c:v>
                </c:pt>
                <c:pt idx="56">
                  <c:v>0.49237029501525942</c:v>
                </c:pt>
                <c:pt idx="57">
                  <c:v>0.34</c:v>
                </c:pt>
                <c:pt idx="58">
                  <c:v>0.45424476295479604</c:v>
                </c:pt>
                <c:pt idx="59">
                  <c:v>0.37468354430379747</c:v>
                </c:pt>
                <c:pt idx="60">
                  <c:v>0.34228187919463088</c:v>
                </c:pt>
                <c:pt idx="61">
                  <c:v>0.49010416666666667</c:v>
                </c:pt>
                <c:pt idx="62">
                  <c:v>0.46637265711135611</c:v>
                </c:pt>
                <c:pt idx="63">
                  <c:v>0.37704918032786883</c:v>
                </c:pt>
                <c:pt idx="64">
                  <c:v>0.47086521483225424</c:v>
                </c:pt>
                <c:pt idx="65">
                  <c:v>0.34814814814814815</c:v>
                </c:pt>
                <c:pt idx="66">
                  <c:v>0.5</c:v>
                </c:pt>
                <c:pt idx="67">
                  <c:v>0.49010848755583919</c:v>
                </c:pt>
                <c:pt idx="68">
                  <c:v>0.4050632911392405</c:v>
                </c:pt>
                <c:pt idx="69">
                  <c:v>0.20020020020020021</c:v>
                </c:pt>
                <c:pt idx="70">
                  <c:v>0.11222222222222222</c:v>
                </c:pt>
                <c:pt idx="71">
                  <c:v>0.46801346801346799</c:v>
                </c:pt>
                <c:pt idx="72">
                  <c:v>0.47952345495160087</c:v>
                </c:pt>
                <c:pt idx="73">
                  <c:v>0.42499999999999999</c:v>
                </c:pt>
                <c:pt idx="74">
                  <c:v>0.49012158054711247</c:v>
                </c:pt>
                <c:pt idx="75">
                  <c:v>0.48990683229813664</c:v>
                </c:pt>
                <c:pt idx="76">
                  <c:v>0.42727272727272725</c:v>
                </c:pt>
                <c:pt idx="77">
                  <c:v>0.42452830188679247</c:v>
                </c:pt>
                <c:pt idx="78">
                  <c:v>0.46666666666666667</c:v>
                </c:pt>
                <c:pt idx="79">
                  <c:v>0.47247247247247248</c:v>
                </c:pt>
                <c:pt idx="80">
                  <c:v>0.48979591836734693</c:v>
                </c:pt>
                <c:pt idx="81">
                  <c:v>0.43381535038932145</c:v>
                </c:pt>
                <c:pt idx="82">
                  <c:v>0.41744186046511628</c:v>
                </c:pt>
                <c:pt idx="83">
                  <c:v>0.44555555555555554</c:v>
                </c:pt>
                <c:pt idx="84">
                  <c:v>0.48979591836734693</c:v>
                </c:pt>
                <c:pt idx="85">
                  <c:v>0.53549695740365111</c:v>
                </c:pt>
                <c:pt idx="86">
                  <c:v>0.5</c:v>
                </c:pt>
                <c:pt idx="87">
                  <c:v>0.49026345933562426</c:v>
                </c:pt>
                <c:pt idx="88">
                  <c:v>0.3508500772797527</c:v>
                </c:pt>
                <c:pt idx="89">
                  <c:v>0.5546875</c:v>
                </c:pt>
                <c:pt idx="90">
                  <c:v>0.40701219512195119</c:v>
                </c:pt>
                <c:pt idx="91">
                  <c:v>0.45428571428571429</c:v>
                </c:pt>
                <c:pt idx="92">
                  <c:v>0.42691029900332228</c:v>
                </c:pt>
                <c:pt idx="93">
                  <c:v>0.51461988304093564</c:v>
                </c:pt>
                <c:pt idx="94">
                  <c:v>0.48995363214837712</c:v>
                </c:pt>
                <c:pt idx="95">
                  <c:v>0.5220588235294118</c:v>
                </c:pt>
                <c:pt idx="96">
                  <c:v>0.50166666666666671</c:v>
                </c:pt>
                <c:pt idx="97">
                  <c:v>0.22135416666666666</c:v>
                </c:pt>
                <c:pt idx="98">
                  <c:v>0.48975791433891991</c:v>
                </c:pt>
                <c:pt idx="99">
                  <c:v>0.48971193415637859</c:v>
                </c:pt>
                <c:pt idx="100">
                  <c:v>0.5</c:v>
                </c:pt>
                <c:pt idx="101">
                  <c:v>0.48888888888888887</c:v>
                </c:pt>
                <c:pt idx="102">
                  <c:v>0.64014466546112114</c:v>
                </c:pt>
                <c:pt idx="103">
                  <c:v>0.60515873015873012</c:v>
                </c:pt>
                <c:pt idx="104">
                  <c:v>0.23846153846153847</c:v>
                </c:pt>
                <c:pt idx="105">
                  <c:v>0.45833333333333331</c:v>
                </c:pt>
                <c:pt idx="106">
                  <c:v>0.51570680628272247</c:v>
                </c:pt>
                <c:pt idx="107">
                  <c:v>0.48985507246376814</c:v>
                </c:pt>
                <c:pt idx="108">
                  <c:v>0.52500000000000002</c:v>
                </c:pt>
                <c:pt idx="109">
                  <c:v>0.47187499999999999</c:v>
                </c:pt>
                <c:pt idx="110">
                  <c:v>0.47499999999999998</c:v>
                </c:pt>
                <c:pt idx="111">
                  <c:v>0.52500000000000002</c:v>
                </c:pt>
              </c:numCache>
            </c:numRef>
          </c:xVal>
          <c:yVal>
            <c:numRef>
              <c:f>'Assignment 2'!$I$2:$I$113</c:f>
              <c:numCache>
                <c:formatCode>General</c:formatCode>
                <c:ptCount val="112"/>
                <c:pt idx="0">
                  <c:v>5</c:v>
                </c:pt>
                <c:pt idx="1">
                  <c:v>1</c:v>
                </c:pt>
                <c:pt idx="2">
                  <c:v>0</c:v>
                </c:pt>
                <c:pt idx="3">
                  <c:v>15</c:v>
                </c:pt>
                <c:pt idx="4">
                  <c:v>5</c:v>
                </c:pt>
                <c:pt idx="5">
                  <c:v>12</c:v>
                </c:pt>
                <c:pt idx="6">
                  <c:v>0</c:v>
                </c:pt>
                <c:pt idx="7">
                  <c:v>0</c:v>
                </c:pt>
                <c:pt idx="8">
                  <c:v>55</c:v>
                </c:pt>
                <c:pt idx="9">
                  <c:v>5</c:v>
                </c:pt>
                <c:pt idx="10">
                  <c:v>0</c:v>
                </c:pt>
                <c:pt idx="11">
                  <c:v>24</c:v>
                </c:pt>
                <c:pt idx="12">
                  <c:v>6</c:v>
                </c:pt>
                <c:pt idx="13">
                  <c:v>0</c:v>
                </c:pt>
                <c:pt idx="14">
                  <c:v>13</c:v>
                </c:pt>
                <c:pt idx="15">
                  <c:v>7</c:v>
                </c:pt>
                <c:pt idx="16">
                  <c:v>3</c:v>
                </c:pt>
                <c:pt idx="17">
                  <c:v>32</c:v>
                </c:pt>
                <c:pt idx="18">
                  <c:v>20</c:v>
                </c:pt>
                <c:pt idx="19">
                  <c:v>0</c:v>
                </c:pt>
                <c:pt idx="20">
                  <c:v>0</c:v>
                </c:pt>
                <c:pt idx="21">
                  <c:v>9</c:v>
                </c:pt>
                <c:pt idx="22">
                  <c:v>2</c:v>
                </c:pt>
                <c:pt idx="23">
                  <c:v>0</c:v>
                </c:pt>
                <c:pt idx="24">
                  <c:v>20</c:v>
                </c:pt>
                <c:pt idx="25">
                  <c:v>5</c:v>
                </c:pt>
                <c:pt idx="26">
                  <c:v>0</c:v>
                </c:pt>
                <c:pt idx="27">
                  <c:v>9</c:v>
                </c:pt>
                <c:pt idx="28">
                  <c:v>0</c:v>
                </c:pt>
                <c:pt idx="29">
                  <c:v>0</c:v>
                </c:pt>
                <c:pt idx="30">
                  <c:v>0</c:v>
                </c:pt>
                <c:pt idx="31">
                  <c:v>14</c:v>
                </c:pt>
                <c:pt idx="32">
                  <c:v>1</c:v>
                </c:pt>
                <c:pt idx="33">
                  <c:v>5</c:v>
                </c:pt>
                <c:pt idx="34">
                  <c:v>7</c:v>
                </c:pt>
                <c:pt idx="35">
                  <c:v>7</c:v>
                </c:pt>
                <c:pt idx="36">
                  <c:v>0</c:v>
                </c:pt>
                <c:pt idx="37">
                  <c:v>0</c:v>
                </c:pt>
                <c:pt idx="38">
                  <c:v>0</c:v>
                </c:pt>
                <c:pt idx="39">
                  <c:v>0</c:v>
                </c:pt>
                <c:pt idx="40">
                  <c:v>0</c:v>
                </c:pt>
                <c:pt idx="41">
                  <c:v>0</c:v>
                </c:pt>
                <c:pt idx="42">
                  <c:v>0</c:v>
                </c:pt>
                <c:pt idx="43">
                  <c:v>13</c:v>
                </c:pt>
                <c:pt idx="44">
                  <c:v>0</c:v>
                </c:pt>
                <c:pt idx="45">
                  <c:v>5</c:v>
                </c:pt>
                <c:pt idx="46">
                  <c:v>16</c:v>
                </c:pt>
                <c:pt idx="47">
                  <c:v>0</c:v>
                </c:pt>
                <c:pt idx="48">
                  <c:v>0</c:v>
                </c:pt>
                <c:pt idx="49">
                  <c:v>0</c:v>
                </c:pt>
                <c:pt idx="50">
                  <c:v>0</c:v>
                </c:pt>
                <c:pt idx="51">
                  <c:v>1</c:v>
                </c:pt>
                <c:pt idx="52">
                  <c:v>0</c:v>
                </c:pt>
                <c:pt idx="53">
                  <c:v>0</c:v>
                </c:pt>
                <c:pt idx="54">
                  <c:v>7</c:v>
                </c:pt>
                <c:pt idx="55">
                  <c:v>0</c:v>
                </c:pt>
                <c:pt idx="56">
                  <c:v>44</c:v>
                </c:pt>
                <c:pt idx="57">
                  <c:v>39</c:v>
                </c:pt>
                <c:pt idx="58">
                  <c:v>6</c:v>
                </c:pt>
                <c:pt idx="59">
                  <c:v>2</c:v>
                </c:pt>
                <c:pt idx="60">
                  <c:v>12</c:v>
                </c:pt>
                <c:pt idx="61">
                  <c:v>1</c:v>
                </c:pt>
                <c:pt idx="62">
                  <c:v>6</c:v>
                </c:pt>
                <c:pt idx="63">
                  <c:v>2</c:v>
                </c:pt>
                <c:pt idx="64">
                  <c:v>0</c:v>
                </c:pt>
                <c:pt idx="65">
                  <c:v>6</c:v>
                </c:pt>
                <c:pt idx="66">
                  <c:v>0</c:v>
                </c:pt>
                <c:pt idx="67">
                  <c:v>0</c:v>
                </c:pt>
                <c:pt idx="68">
                  <c:v>0</c:v>
                </c:pt>
                <c:pt idx="69">
                  <c:v>12</c:v>
                </c:pt>
                <c:pt idx="70">
                  <c:v>0</c:v>
                </c:pt>
                <c:pt idx="71">
                  <c:v>0</c:v>
                </c:pt>
                <c:pt idx="72">
                  <c:v>0</c:v>
                </c:pt>
                <c:pt idx="73">
                  <c:v>0</c:v>
                </c:pt>
                <c:pt idx="74">
                  <c:v>0</c:v>
                </c:pt>
                <c:pt idx="75">
                  <c:v>0</c:v>
                </c:pt>
                <c:pt idx="76">
                  <c:v>0</c:v>
                </c:pt>
                <c:pt idx="77">
                  <c:v>0</c:v>
                </c:pt>
                <c:pt idx="78">
                  <c:v>12</c:v>
                </c:pt>
                <c:pt idx="79">
                  <c:v>14</c:v>
                </c:pt>
                <c:pt idx="80">
                  <c:v>0</c:v>
                </c:pt>
                <c:pt idx="81">
                  <c:v>5</c:v>
                </c:pt>
                <c:pt idx="82">
                  <c:v>6</c:v>
                </c:pt>
                <c:pt idx="83">
                  <c:v>0</c:v>
                </c:pt>
                <c:pt idx="84">
                  <c:v>0</c:v>
                </c:pt>
                <c:pt idx="85">
                  <c:v>10</c:v>
                </c:pt>
                <c:pt idx="86">
                  <c:v>1</c:v>
                </c:pt>
                <c:pt idx="87">
                  <c:v>69</c:v>
                </c:pt>
                <c:pt idx="88">
                  <c:v>49</c:v>
                </c:pt>
                <c:pt idx="89">
                  <c:v>0</c:v>
                </c:pt>
                <c:pt idx="90">
                  <c:v>36</c:v>
                </c:pt>
                <c:pt idx="91">
                  <c:v>17</c:v>
                </c:pt>
                <c:pt idx="92">
                  <c:v>6</c:v>
                </c:pt>
                <c:pt idx="93">
                  <c:v>2</c:v>
                </c:pt>
                <c:pt idx="94">
                  <c:v>1</c:v>
                </c:pt>
                <c:pt idx="95">
                  <c:v>15</c:v>
                </c:pt>
                <c:pt idx="96">
                  <c:v>0</c:v>
                </c:pt>
                <c:pt idx="97">
                  <c:v>0</c:v>
                </c:pt>
                <c:pt idx="98">
                  <c:v>0</c:v>
                </c:pt>
                <c:pt idx="99">
                  <c:v>0</c:v>
                </c:pt>
                <c:pt idx="100">
                  <c:v>0</c:v>
                </c:pt>
                <c:pt idx="101">
                  <c:v>0</c:v>
                </c:pt>
                <c:pt idx="102">
                  <c:v>0</c:v>
                </c:pt>
                <c:pt idx="103">
                  <c:v>0</c:v>
                </c:pt>
                <c:pt idx="104">
                  <c:v>0</c:v>
                </c:pt>
                <c:pt idx="105">
                  <c:v>2</c:v>
                </c:pt>
                <c:pt idx="106">
                  <c:v>9</c:v>
                </c:pt>
                <c:pt idx="107">
                  <c:v>0</c:v>
                </c:pt>
                <c:pt idx="108">
                  <c:v>2</c:v>
                </c:pt>
                <c:pt idx="109">
                  <c:v>0</c:v>
                </c:pt>
                <c:pt idx="110">
                  <c:v>0</c:v>
                </c:pt>
                <c:pt idx="111">
                  <c:v>13</c:v>
                </c:pt>
              </c:numCache>
            </c:numRef>
          </c:yVal>
          <c:smooth val="0"/>
          <c:extLst>
            <c:ext xmlns:c16="http://schemas.microsoft.com/office/drawing/2014/chart" uri="{C3380CC4-5D6E-409C-BE32-E72D297353CC}">
              <c16:uniqueId val="{00000000-FB69-4DB7-BA5B-6B04285D1A4C}"/>
            </c:ext>
          </c:extLst>
        </c:ser>
        <c:dLbls>
          <c:showLegendKey val="0"/>
          <c:showVal val="0"/>
          <c:showCatName val="0"/>
          <c:showSerName val="0"/>
          <c:showPercent val="0"/>
          <c:showBubbleSize val="0"/>
        </c:dLbls>
        <c:axId val="603977599"/>
        <c:axId val="603980479"/>
      </c:scatterChart>
      <c:valAx>
        <c:axId val="6039775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980479"/>
        <c:crosses val="autoZero"/>
        <c:crossBetween val="midCat"/>
      </c:valAx>
      <c:valAx>
        <c:axId val="603980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9775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Complete.xlsx]No. of Reviews By rating!PivotTable5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Number</a:t>
            </a:r>
            <a:r>
              <a:rPr lang="en-GB" baseline="0"/>
              <a:t> or Reviews By Ratings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'No. of Reviews By rating'!$B$3</c:f>
              <c:strCache>
                <c:ptCount val="1"/>
                <c:pt idx="0">
                  <c:v>Total</c:v>
                </c:pt>
              </c:strCache>
            </c:strRef>
          </c:tx>
          <c:spPr>
            <a:ln w="28575" cap="rnd">
              <a:solidFill>
                <a:schemeClr val="accent1"/>
              </a:solidFill>
              <a:round/>
            </a:ln>
            <a:effectLst/>
          </c:spPr>
          <c:marker>
            <c:symbol val="none"/>
          </c:marker>
          <c:cat>
            <c:strRef>
              <c:f>'No. of Reviews By rating'!$A$4:$A$27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3.9</c:v>
                </c:pt>
                <c:pt idx="13">
                  <c:v>4</c:v>
                </c:pt>
                <c:pt idx="14">
                  <c:v>4.1</c:v>
                </c:pt>
                <c:pt idx="15">
                  <c:v>4.2</c:v>
                </c:pt>
                <c:pt idx="16">
                  <c:v>4.3</c:v>
                </c:pt>
                <c:pt idx="17">
                  <c:v>4.4</c:v>
                </c:pt>
                <c:pt idx="18">
                  <c:v>4.5</c:v>
                </c:pt>
                <c:pt idx="19">
                  <c:v>4.6</c:v>
                </c:pt>
                <c:pt idx="20">
                  <c:v>4.7</c:v>
                </c:pt>
                <c:pt idx="21">
                  <c:v>4.8</c:v>
                </c:pt>
                <c:pt idx="22">
                  <c:v>5</c:v>
                </c:pt>
              </c:strCache>
            </c:strRef>
          </c:cat>
          <c:val>
            <c:numRef>
              <c:f>'No. of Reviews By rating'!$B$4:$B$27</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0</c:v>
                </c:pt>
                <c:pt idx="13">
                  <c:v>24</c:v>
                </c:pt>
                <c:pt idx="14">
                  <c:v>46</c:v>
                </c:pt>
                <c:pt idx="15">
                  <c:v>9</c:v>
                </c:pt>
                <c:pt idx="16">
                  <c:v>61</c:v>
                </c:pt>
                <c:pt idx="17">
                  <c:v>14</c:v>
                </c:pt>
                <c:pt idx="18">
                  <c:v>42</c:v>
                </c:pt>
                <c:pt idx="19">
                  <c:v>177</c:v>
                </c:pt>
                <c:pt idx="20">
                  <c:v>78</c:v>
                </c:pt>
                <c:pt idx="21">
                  <c:v>22</c:v>
                </c:pt>
                <c:pt idx="22">
                  <c:v>12</c:v>
                </c:pt>
              </c:numCache>
            </c:numRef>
          </c:val>
          <c:smooth val="0"/>
          <c:extLst>
            <c:ext xmlns:c16="http://schemas.microsoft.com/office/drawing/2014/chart" uri="{C3380CC4-5D6E-409C-BE32-E72D297353CC}">
              <c16:uniqueId val="{00000000-9E0D-47F7-838A-C418651B6A6A}"/>
            </c:ext>
          </c:extLst>
        </c:ser>
        <c:dLbls>
          <c:showLegendKey val="0"/>
          <c:showVal val="0"/>
          <c:showCatName val="0"/>
          <c:showSerName val="0"/>
          <c:showPercent val="0"/>
          <c:showBubbleSize val="0"/>
        </c:dLbls>
        <c:smooth val="0"/>
        <c:axId val="603988159"/>
        <c:axId val="603988639"/>
      </c:lineChart>
      <c:catAx>
        <c:axId val="60398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988639"/>
        <c:crosses val="autoZero"/>
        <c:auto val="1"/>
        <c:lblAlgn val="ctr"/>
        <c:lblOffset val="100"/>
        <c:noMultiLvlLbl val="0"/>
      </c:catAx>
      <c:valAx>
        <c:axId val="60398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98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10</xdr:col>
      <xdr:colOff>337984</xdr:colOff>
      <xdr:row>3</xdr:row>
      <xdr:rowOff>143591</xdr:rowOff>
    </xdr:from>
    <xdr:to>
      <xdr:col>16</xdr:col>
      <xdr:colOff>378951</xdr:colOff>
      <xdr:row>8</xdr:row>
      <xdr:rowOff>71693</xdr:rowOff>
    </xdr:to>
    <xdr:sp macro="" textlink="">
      <xdr:nvSpPr>
        <xdr:cNvPr id="2" name="Rectangle: Rounded Corners 1">
          <a:extLst>
            <a:ext uri="{FF2B5EF4-FFF2-40B4-BE49-F238E27FC236}">
              <a16:creationId xmlns:a16="http://schemas.microsoft.com/office/drawing/2014/main" id="{E298D4C8-E445-458B-D416-088EE744D10D}"/>
            </a:ext>
          </a:extLst>
        </xdr:cNvPr>
        <xdr:cNvSpPr/>
      </xdr:nvSpPr>
      <xdr:spPr>
        <a:xfrm>
          <a:off x="6483145" y="696656"/>
          <a:ext cx="3728064" cy="849876"/>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GB" sz="1600" b="1"/>
            <a:t>Average Rating</a:t>
          </a:r>
        </a:p>
        <a:p>
          <a:pPr algn="l"/>
          <a:r>
            <a:rPr lang="en-GB" sz="1600" b="1"/>
            <a:t>3.9</a:t>
          </a:r>
        </a:p>
      </xdr:txBody>
    </xdr:sp>
    <xdr:clientData/>
  </xdr:twoCellAnchor>
  <xdr:twoCellAnchor>
    <xdr:from>
      <xdr:col>4</xdr:col>
      <xdr:colOff>276532</xdr:colOff>
      <xdr:row>3</xdr:row>
      <xdr:rowOff>130891</xdr:rowOff>
    </xdr:from>
    <xdr:to>
      <xdr:col>10</xdr:col>
      <xdr:colOff>317500</xdr:colOff>
      <xdr:row>8</xdr:row>
      <xdr:rowOff>40966</xdr:rowOff>
    </xdr:to>
    <xdr:sp macro="" textlink="">
      <xdr:nvSpPr>
        <xdr:cNvPr id="3" name="Rectangle: Rounded Corners 2">
          <a:extLst>
            <a:ext uri="{FF2B5EF4-FFF2-40B4-BE49-F238E27FC236}">
              <a16:creationId xmlns:a16="http://schemas.microsoft.com/office/drawing/2014/main" id="{96CB79CB-5764-7A67-CC4D-9924889C2D5E}"/>
            </a:ext>
          </a:extLst>
        </xdr:cNvPr>
        <xdr:cNvSpPr/>
      </xdr:nvSpPr>
      <xdr:spPr>
        <a:xfrm>
          <a:off x="2734597" y="683956"/>
          <a:ext cx="3728064" cy="831849"/>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GB" sz="1600" b="1"/>
            <a:t>Number</a:t>
          </a:r>
          <a:r>
            <a:rPr lang="en-GB" sz="1600" b="1" baseline="0"/>
            <a:t> of Products</a:t>
          </a:r>
        </a:p>
        <a:p>
          <a:pPr algn="l"/>
          <a:r>
            <a:rPr lang="en-GB" sz="1600" b="1" baseline="0"/>
            <a:t>112</a:t>
          </a:r>
          <a:endParaRPr lang="en-GB" sz="1600" b="1"/>
        </a:p>
      </xdr:txBody>
    </xdr:sp>
    <xdr:clientData/>
  </xdr:twoCellAnchor>
  <xdr:twoCellAnchor>
    <xdr:from>
      <xdr:col>16</xdr:col>
      <xdr:colOff>389194</xdr:colOff>
      <xdr:row>3</xdr:row>
      <xdr:rowOff>167966</xdr:rowOff>
    </xdr:from>
    <xdr:to>
      <xdr:col>23</xdr:col>
      <xdr:colOff>40968</xdr:colOff>
      <xdr:row>8</xdr:row>
      <xdr:rowOff>71693</xdr:rowOff>
    </xdr:to>
    <xdr:sp macro="" textlink="">
      <xdr:nvSpPr>
        <xdr:cNvPr id="4" name="Rectangle: Rounded Corners 3">
          <a:extLst>
            <a:ext uri="{FF2B5EF4-FFF2-40B4-BE49-F238E27FC236}">
              <a16:creationId xmlns:a16="http://schemas.microsoft.com/office/drawing/2014/main" id="{96D1C658-B325-1715-DD3C-3E42219969DE}"/>
            </a:ext>
          </a:extLst>
        </xdr:cNvPr>
        <xdr:cNvSpPr/>
      </xdr:nvSpPr>
      <xdr:spPr>
        <a:xfrm>
          <a:off x="10221452" y="721031"/>
          <a:ext cx="3953387" cy="825501"/>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GB" sz="1600" b="1"/>
            <a:t>Average Discount</a:t>
          </a:r>
        </a:p>
        <a:p>
          <a:pPr algn="l"/>
          <a:r>
            <a:rPr lang="en-GB" sz="1600" b="1"/>
            <a:t>36.7</a:t>
          </a:r>
        </a:p>
      </xdr:txBody>
    </xdr:sp>
    <xdr:clientData/>
  </xdr:twoCellAnchor>
  <xdr:twoCellAnchor>
    <xdr:from>
      <xdr:col>23</xdr:col>
      <xdr:colOff>30726</xdr:colOff>
      <xdr:row>4</xdr:row>
      <xdr:rowOff>12906</xdr:rowOff>
    </xdr:from>
    <xdr:to>
      <xdr:col>29</xdr:col>
      <xdr:colOff>481371</xdr:colOff>
      <xdr:row>8</xdr:row>
      <xdr:rowOff>51210</xdr:rowOff>
    </xdr:to>
    <xdr:sp macro="" textlink="">
      <xdr:nvSpPr>
        <xdr:cNvPr id="5" name="Rectangle: Rounded Corners 4">
          <a:extLst>
            <a:ext uri="{FF2B5EF4-FFF2-40B4-BE49-F238E27FC236}">
              <a16:creationId xmlns:a16="http://schemas.microsoft.com/office/drawing/2014/main" id="{670EB2EC-EC3D-7AE4-D226-FD5E33CA5524}"/>
            </a:ext>
          </a:extLst>
        </xdr:cNvPr>
        <xdr:cNvSpPr/>
      </xdr:nvSpPr>
      <xdr:spPr>
        <a:xfrm>
          <a:off x="14164597" y="750325"/>
          <a:ext cx="4137742" cy="77572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GB" sz="1200" b="1"/>
            <a:t>Total Reviews</a:t>
          </a:r>
        </a:p>
        <a:p>
          <a:pPr algn="l"/>
          <a:r>
            <a:rPr lang="en-GB" sz="1600" b="1"/>
            <a:t>723</a:t>
          </a:r>
        </a:p>
      </xdr:txBody>
    </xdr:sp>
    <xdr:clientData/>
  </xdr:twoCellAnchor>
  <xdr:twoCellAnchor>
    <xdr:from>
      <xdr:col>4</xdr:col>
      <xdr:colOff>276533</xdr:colOff>
      <xdr:row>0</xdr:row>
      <xdr:rowOff>0</xdr:rowOff>
    </xdr:from>
    <xdr:to>
      <xdr:col>29</xdr:col>
      <xdr:colOff>430161</xdr:colOff>
      <xdr:row>3</xdr:row>
      <xdr:rowOff>137242</xdr:rowOff>
    </xdr:to>
    <xdr:sp macro="" textlink="">
      <xdr:nvSpPr>
        <xdr:cNvPr id="6" name="Rectangle: Rounded Corners 5">
          <a:extLst>
            <a:ext uri="{FF2B5EF4-FFF2-40B4-BE49-F238E27FC236}">
              <a16:creationId xmlns:a16="http://schemas.microsoft.com/office/drawing/2014/main" id="{75E27272-B60B-12E1-070C-6BAD0C59BAE5}"/>
            </a:ext>
          </a:extLst>
        </xdr:cNvPr>
        <xdr:cNvSpPr/>
      </xdr:nvSpPr>
      <xdr:spPr>
        <a:xfrm>
          <a:off x="2734598" y="0"/>
          <a:ext cx="15516531" cy="69030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GB" sz="4000" b="1"/>
            <a:t>Jumia E-Commerce Product Analytics Dashboard</a:t>
          </a:r>
        </a:p>
      </xdr:txBody>
    </xdr:sp>
    <xdr:clientData/>
  </xdr:twoCellAnchor>
  <xdr:twoCellAnchor>
    <xdr:from>
      <xdr:col>4</xdr:col>
      <xdr:colOff>358468</xdr:colOff>
      <xdr:row>8</xdr:row>
      <xdr:rowOff>102419</xdr:rowOff>
    </xdr:from>
    <xdr:to>
      <xdr:col>10</xdr:col>
      <xdr:colOff>276533</xdr:colOff>
      <xdr:row>22</xdr:row>
      <xdr:rowOff>30725</xdr:rowOff>
    </xdr:to>
    <xdr:graphicFrame macro="">
      <xdr:nvGraphicFramePr>
        <xdr:cNvPr id="8" name="Chart 7">
          <a:extLst>
            <a:ext uri="{FF2B5EF4-FFF2-40B4-BE49-F238E27FC236}">
              <a16:creationId xmlns:a16="http://schemas.microsoft.com/office/drawing/2014/main" id="{218D102B-ECE7-4C80-8DC2-2656731F2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278258</xdr:colOff>
      <xdr:row>8</xdr:row>
      <xdr:rowOff>112661</xdr:rowOff>
    </xdr:from>
    <xdr:to>
      <xdr:col>16</xdr:col>
      <xdr:colOff>219752</xdr:colOff>
      <xdr:row>22</xdr:row>
      <xdr:rowOff>51210</xdr:rowOff>
    </xdr:to>
    <xdr:graphicFrame macro="">
      <xdr:nvGraphicFramePr>
        <xdr:cNvPr id="9" name="Chart 8">
          <a:extLst>
            <a:ext uri="{FF2B5EF4-FFF2-40B4-BE49-F238E27FC236}">
              <a16:creationId xmlns:a16="http://schemas.microsoft.com/office/drawing/2014/main" id="{33AE62CD-388F-46A9-AADB-67089F78B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236371</xdr:colOff>
      <xdr:row>8</xdr:row>
      <xdr:rowOff>122903</xdr:rowOff>
    </xdr:from>
    <xdr:to>
      <xdr:col>22</xdr:col>
      <xdr:colOff>215081</xdr:colOff>
      <xdr:row>22</xdr:row>
      <xdr:rowOff>5526</xdr:rowOff>
    </xdr:to>
    <xdr:graphicFrame macro="">
      <xdr:nvGraphicFramePr>
        <xdr:cNvPr id="10" name="Chart 9">
          <a:extLst>
            <a:ext uri="{FF2B5EF4-FFF2-40B4-BE49-F238E27FC236}">
              <a16:creationId xmlns:a16="http://schemas.microsoft.com/office/drawing/2014/main" id="{2D74DFD3-529C-4F44-AEA9-1DBFA86FE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344657</xdr:colOff>
      <xdr:row>22</xdr:row>
      <xdr:rowOff>55812</xdr:rowOff>
    </xdr:from>
    <xdr:to>
      <xdr:col>10</xdr:col>
      <xdr:colOff>273310</xdr:colOff>
      <xdr:row>37</xdr:row>
      <xdr:rowOff>1</xdr:rowOff>
    </xdr:to>
    <xdr:graphicFrame macro="">
      <xdr:nvGraphicFramePr>
        <xdr:cNvPr id="11" name="Chart 10">
          <a:extLst>
            <a:ext uri="{FF2B5EF4-FFF2-40B4-BE49-F238E27FC236}">
              <a16:creationId xmlns:a16="http://schemas.microsoft.com/office/drawing/2014/main" id="{8EC021CA-EF06-4AF3-9CCF-D96CB98F3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267096</xdr:colOff>
      <xdr:row>22</xdr:row>
      <xdr:rowOff>56735</xdr:rowOff>
    </xdr:from>
    <xdr:to>
      <xdr:col>16</xdr:col>
      <xdr:colOff>217152</xdr:colOff>
      <xdr:row>37</xdr:row>
      <xdr:rowOff>10242</xdr:rowOff>
    </xdr:to>
    <xdr:graphicFrame macro="">
      <xdr:nvGraphicFramePr>
        <xdr:cNvPr id="7" name="Chart 6">
          <a:extLst>
            <a:ext uri="{FF2B5EF4-FFF2-40B4-BE49-F238E27FC236}">
              <a16:creationId xmlns:a16="http://schemas.microsoft.com/office/drawing/2014/main" id="{93B06EE6-BD48-4206-92B6-1FFDACB60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225322</xdr:colOff>
      <xdr:row>22</xdr:row>
      <xdr:rowOff>20485</xdr:rowOff>
    </xdr:from>
    <xdr:to>
      <xdr:col>22</xdr:col>
      <xdr:colOff>225322</xdr:colOff>
      <xdr:row>36</xdr:row>
      <xdr:rowOff>182717</xdr:rowOff>
    </xdr:to>
    <xdr:graphicFrame macro="">
      <xdr:nvGraphicFramePr>
        <xdr:cNvPr id="12" name="Chart 11">
          <a:extLst>
            <a:ext uri="{FF2B5EF4-FFF2-40B4-BE49-F238E27FC236}">
              <a16:creationId xmlns:a16="http://schemas.microsoft.com/office/drawing/2014/main" id="{C4FC9D44-6DF3-40F2-AD42-89F465B6E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235565</xdr:colOff>
      <xdr:row>8</xdr:row>
      <xdr:rowOff>112660</xdr:rowOff>
    </xdr:from>
    <xdr:to>
      <xdr:col>29</xdr:col>
      <xdr:colOff>505952</xdr:colOff>
      <xdr:row>36</xdr:row>
      <xdr:rowOff>163871</xdr:rowOff>
    </xdr:to>
    <xdr:graphicFrame macro="">
      <xdr:nvGraphicFramePr>
        <xdr:cNvPr id="13" name="Chart 12">
          <a:extLst>
            <a:ext uri="{FF2B5EF4-FFF2-40B4-BE49-F238E27FC236}">
              <a16:creationId xmlns:a16="http://schemas.microsoft.com/office/drawing/2014/main" id="{FADFBB6E-38B7-4613-A9D8-6E346F99D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10242</xdr:colOff>
      <xdr:row>8</xdr:row>
      <xdr:rowOff>81935</xdr:rowOff>
    </xdr:from>
    <xdr:to>
      <xdr:col>4</xdr:col>
      <xdr:colOff>327742</xdr:colOff>
      <xdr:row>17</xdr:row>
      <xdr:rowOff>133147</xdr:rowOff>
    </xdr:to>
    <mc:AlternateContent xmlns:mc="http://schemas.openxmlformats.org/markup-compatibility/2006">
      <mc:Choice xmlns:a14="http://schemas.microsoft.com/office/drawing/2010/main" Requires="a14">
        <xdr:graphicFrame macro="">
          <xdr:nvGraphicFramePr>
            <xdr:cNvPr id="14" name="DISCOUNT CATEGORY 1">
              <a:extLst>
                <a:ext uri="{FF2B5EF4-FFF2-40B4-BE49-F238E27FC236}">
                  <a16:creationId xmlns:a16="http://schemas.microsoft.com/office/drawing/2014/main" id="{20B1471B-5253-4D2C-9E9E-8D28B209ADB6}"/>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10242" y="1556774"/>
              <a:ext cx="2775565" cy="17104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61452</xdr:colOff>
      <xdr:row>0</xdr:row>
      <xdr:rowOff>0</xdr:rowOff>
    </xdr:from>
    <xdr:to>
      <xdr:col>4</xdr:col>
      <xdr:colOff>245806</xdr:colOff>
      <xdr:row>8</xdr:row>
      <xdr:rowOff>30725</xdr:rowOff>
    </xdr:to>
    <xdr:sp macro="" textlink="">
      <xdr:nvSpPr>
        <xdr:cNvPr id="16" name="Rectangle: Rounded Corners 15">
          <a:extLst>
            <a:ext uri="{FF2B5EF4-FFF2-40B4-BE49-F238E27FC236}">
              <a16:creationId xmlns:a16="http://schemas.microsoft.com/office/drawing/2014/main" id="{6C5B0AE4-2778-3EC5-C2DD-A4C1572970A7}"/>
            </a:ext>
          </a:extLst>
        </xdr:cNvPr>
        <xdr:cNvSpPr/>
      </xdr:nvSpPr>
      <xdr:spPr>
        <a:xfrm>
          <a:off x="61452" y="0"/>
          <a:ext cx="2642419" cy="1505564"/>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GB" sz="2800" b="1">
              <a:solidFill>
                <a:sysClr val="windowText" lastClr="000000"/>
              </a:solidFill>
            </a:rPr>
            <a:t>31st</a:t>
          </a:r>
          <a:r>
            <a:rPr lang="en-GB" sz="2800" b="1" baseline="0">
              <a:solidFill>
                <a:sysClr val="windowText" lastClr="000000"/>
              </a:solidFill>
            </a:rPr>
            <a:t> JANUARY 2026</a:t>
          </a:r>
          <a:endParaRPr lang="en-GB" sz="2800" b="1">
            <a:solidFill>
              <a:sysClr val="windowText" lastClr="000000"/>
            </a:solidFill>
          </a:endParaRPr>
        </a:p>
      </xdr:txBody>
    </xdr:sp>
    <xdr:clientData/>
  </xdr:twoCellAnchor>
  <xdr:twoCellAnchor editAs="oneCell">
    <xdr:from>
      <xdr:col>0</xdr:col>
      <xdr:colOff>0</xdr:colOff>
      <xdr:row>17</xdr:row>
      <xdr:rowOff>122903</xdr:rowOff>
    </xdr:from>
    <xdr:to>
      <xdr:col>4</xdr:col>
      <xdr:colOff>337983</xdr:colOff>
      <xdr:row>25</xdr:row>
      <xdr:rowOff>122903</xdr:rowOff>
    </xdr:to>
    <mc:AlternateContent xmlns:mc="http://schemas.openxmlformats.org/markup-compatibility/2006">
      <mc:Choice xmlns:a14="http://schemas.microsoft.com/office/drawing/2010/main" Requires="a14">
        <xdr:graphicFrame macro="">
          <xdr:nvGraphicFramePr>
            <xdr:cNvPr id="17" name="Rating Category 1">
              <a:extLst>
                <a:ext uri="{FF2B5EF4-FFF2-40B4-BE49-F238E27FC236}">
                  <a16:creationId xmlns:a16="http://schemas.microsoft.com/office/drawing/2014/main" id="{9875AC03-FAA3-419B-A159-AE98D196C90F}"/>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0" y="3256935"/>
              <a:ext cx="2796048" cy="14748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102419</xdr:rowOff>
    </xdr:from>
    <xdr:to>
      <xdr:col>4</xdr:col>
      <xdr:colOff>337983</xdr:colOff>
      <xdr:row>37</xdr:row>
      <xdr:rowOff>0</xdr:rowOff>
    </xdr:to>
    <mc:AlternateContent xmlns:mc="http://schemas.openxmlformats.org/markup-compatibility/2006">
      <mc:Choice xmlns:a14="http://schemas.microsoft.com/office/drawing/2010/main" Requires="a14">
        <xdr:graphicFrame macro="">
          <xdr:nvGraphicFramePr>
            <xdr:cNvPr id="18" name="Current price 1">
              <a:extLst>
                <a:ext uri="{FF2B5EF4-FFF2-40B4-BE49-F238E27FC236}">
                  <a16:creationId xmlns:a16="http://schemas.microsoft.com/office/drawing/2014/main" id="{5A44EA23-839E-4F22-9D7A-E24A10771F70}"/>
                </a:ext>
              </a:extLst>
            </xdr:cNvPr>
            <xdr:cNvGraphicFramePr/>
          </xdr:nvGraphicFramePr>
          <xdr:xfrm>
            <a:off x="0" y="0"/>
            <a:ext cx="0" cy="0"/>
          </xdr:xfrm>
          <a:graphic>
            <a:graphicData uri="http://schemas.microsoft.com/office/drawing/2010/slicer">
              <sle:slicer xmlns:sle="http://schemas.microsoft.com/office/drawing/2010/slicer" name="Current price 1"/>
            </a:graphicData>
          </a:graphic>
        </xdr:graphicFrame>
      </mc:Choice>
      <mc:Fallback>
        <xdr:sp macro="" textlink="">
          <xdr:nvSpPr>
            <xdr:cNvPr id="0" name=""/>
            <xdr:cNvSpPr>
              <a:spLocks noTextEdit="1"/>
            </xdr:cNvSpPr>
          </xdr:nvSpPr>
          <xdr:spPr>
            <a:xfrm>
              <a:off x="0" y="4711290"/>
              <a:ext cx="2796048" cy="21098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301625</xdr:colOff>
      <xdr:row>3</xdr:row>
      <xdr:rowOff>133350</xdr:rowOff>
    </xdr:from>
    <xdr:to>
      <xdr:col>8</xdr:col>
      <xdr:colOff>196850</xdr:colOff>
      <xdr:row>17</xdr:row>
      <xdr:rowOff>31750</xdr:rowOff>
    </xdr:to>
    <xdr:graphicFrame macro="">
      <xdr:nvGraphicFramePr>
        <xdr:cNvPr id="3" name="Chart 2">
          <a:extLst>
            <a:ext uri="{FF2B5EF4-FFF2-40B4-BE49-F238E27FC236}">
              <a16:creationId xmlns:a16="http://schemas.microsoft.com/office/drawing/2014/main" id="{835B1531-6582-BF3D-AAAF-C4D3DE2894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3584575</xdr:colOff>
      <xdr:row>3</xdr:row>
      <xdr:rowOff>127000</xdr:rowOff>
    </xdr:from>
    <xdr:to>
      <xdr:col>5</xdr:col>
      <xdr:colOff>9525</xdr:colOff>
      <xdr:row>18</xdr:row>
      <xdr:rowOff>107950</xdr:rowOff>
    </xdr:to>
    <xdr:graphicFrame macro="">
      <xdr:nvGraphicFramePr>
        <xdr:cNvPr id="2" name="Chart 1">
          <a:extLst>
            <a:ext uri="{FF2B5EF4-FFF2-40B4-BE49-F238E27FC236}">
              <a16:creationId xmlns:a16="http://schemas.microsoft.com/office/drawing/2014/main" id="{BEC5FDD5-D778-666B-DDDA-39DC3F98B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4676775</xdr:colOff>
      <xdr:row>5</xdr:row>
      <xdr:rowOff>69850</xdr:rowOff>
    </xdr:from>
    <xdr:to>
      <xdr:col>7</xdr:col>
      <xdr:colOff>104775</xdr:colOff>
      <xdr:row>20</xdr:row>
      <xdr:rowOff>50800</xdr:rowOff>
    </xdr:to>
    <xdr:graphicFrame macro="">
      <xdr:nvGraphicFramePr>
        <xdr:cNvPr id="2" name="Chart 1">
          <a:extLst>
            <a:ext uri="{FF2B5EF4-FFF2-40B4-BE49-F238E27FC236}">
              <a16:creationId xmlns:a16="http://schemas.microsoft.com/office/drawing/2014/main" id="{8A5B47D0-8367-66C5-7F22-9E48B3C19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425450</xdr:colOff>
      <xdr:row>3</xdr:row>
      <xdr:rowOff>25400</xdr:rowOff>
    </xdr:from>
    <xdr:to>
      <xdr:col>9</xdr:col>
      <xdr:colOff>425450</xdr:colOff>
      <xdr:row>16</xdr:row>
      <xdr:rowOff>155575</xdr:rowOff>
    </xdr:to>
    <mc:AlternateContent xmlns:mc="http://schemas.openxmlformats.org/markup-compatibility/2006">
      <mc:Choice xmlns:a14="http://schemas.microsoft.com/office/drawing/2010/main" Requires="a14">
        <xdr:graphicFrame macro="">
          <xdr:nvGraphicFramePr>
            <xdr:cNvPr id="4" name="DISCOUNT CATEGORY">
              <a:extLst>
                <a:ext uri="{FF2B5EF4-FFF2-40B4-BE49-F238E27FC236}">
                  <a16:creationId xmlns:a16="http://schemas.microsoft.com/office/drawing/2014/main" id="{496324E1-E263-8FED-A95D-7DF62A3E20DE}"/>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8959850" y="5778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44450</xdr:colOff>
      <xdr:row>4</xdr:row>
      <xdr:rowOff>152400</xdr:rowOff>
    </xdr:from>
    <xdr:to>
      <xdr:col>12</xdr:col>
      <xdr:colOff>44450</xdr:colOff>
      <xdr:row>18</xdr:row>
      <xdr:rowOff>98425</xdr:rowOff>
    </xdr:to>
    <mc:AlternateContent xmlns:mc="http://schemas.openxmlformats.org/markup-compatibility/2006">
      <mc:Choice xmlns:a14="http://schemas.microsoft.com/office/drawing/2010/main" Requires="a14">
        <xdr:graphicFrame macro="">
          <xdr:nvGraphicFramePr>
            <xdr:cNvPr id="5" name="Rating Category">
              <a:extLst>
                <a:ext uri="{FF2B5EF4-FFF2-40B4-BE49-F238E27FC236}">
                  <a16:creationId xmlns:a16="http://schemas.microsoft.com/office/drawing/2014/main" id="{9D88AEE3-036B-FD71-CB86-0A7E272C557E}"/>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10407650" y="8890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263525</xdr:colOff>
      <xdr:row>3</xdr:row>
      <xdr:rowOff>127000</xdr:rowOff>
    </xdr:from>
    <xdr:to>
      <xdr:col>11</xdr:col>
      <xdr:colOff>568325</xdr:colOff>
      <xdr:row>18</xdr:row>
      <xdr:rowOff>107950</xdr:rowOff>
    </xdr:to>
    <xdr:graphicFrame macro="">
      <xdr:nvGraphicFramePr>
        <xdr:cNvPr id="2" name="Chart 1">
          <a:extLst>
            <a:ext uri="{FF2B5EF4-FFF2-40B4-BE49-F238E27FC236}">
              <a16:creationId xmlns:a16="http://schemas.microsoft.com/office/drawing/2014/main" id="{CF03B089-FEEE-E0C0-9B8A-7A4AEADF11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66675</xdr:colOff>
      <xdr:row>4</xdr:row>
      <xdr:rowOff>127000</xdr:rowOff>
    </xdr:from>
    <xdr:to>
      <xdr:col>10</xdr:col>
      <xdr:colOff>371475</xdr:colOff>
      <xdr:row>19</xdr:row>
      <xdr:rowOff>107950</xdr:rowOff>
    </xdr:to>
    <xdr:graphicFrame macro="">
      <xdr:nvGraphicFramePr>
        <xdr:cNvPr id="2" name="Chart 1">
          <a:extLst>
            <a:ext uri="{FF2B5EF4-FFF2-40B4-BE49-F238E27FC236}">
              <a16:creationId xmlns:a16="http://schemas.microsoft.com/office/drawing/2014/main" id="{D5DDC71A-349D-6A1E-7506-937ABE0DD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269875</xdr:colOff>
      <xdr:row>4</xdr:row>
      <xdr:rowOff>85725</xdr:rowOff>
    </xdr:from>
    <xdr:to>
      <xdr:col>12</xdr:col>
      <xdr:colOff>574675</xdr:colOff>
      <xdr:row>19</xdr:row>
      <xdr:rowOff>66675</xdr:rowOff>
    </xdr:to>
    <xdr:graphicFrame macro="">
      <xdr:nvGraphicFramePr>
        <xdr:cNvPr id="2" name="Chart 1">
          <a:extLst>
            <a:ext uri="{FF2B5EF4-FFF2-40B4-BE49-F238E27FC236}">
              <a16:creationId xmlns:a16="http://schemas.microsoft.com/office/drawing/2014/main" id="{D0633BE9-42A9-E995-5430-34E49E083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920750</xdr:colOff>
      <xdr:row>3</xdr:row>
      <xdr:rowOff>44450</xdr:rowOff>
    </xdr:from>
    <xdr:to>
      <xdr:col>10</xdr:col>
      <xdr:colOff>158750</xdr:colOff>
      <xdr:row>18</xdr:row>
      <xdr:rowOff>25400</xdr:rowOff>
    </xdr:to>
    <xdr:graphicFrame macro="">
      <xdr:nvGraphicFramePr>
        <xdr:cNvPr id="2" name="Chart 1">
          <a:extLst>
            <a:ext uri="{FF2B5EF4-FFF2-40B4-BE49-F238E27FC236}">
              <a16:creationId xmlns:a16="http://schemas.microsoft.com/office/drawing/2014/main" id="{78DF49C6-5E77-002B-89AA-5E92F2B44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1485900</xdr:colOff>
      <xdr:row>4</xdr:row>
      <xdr:rowOff>82550</xdr:rowOff>
    </xdr:from>
    <xdr:to>
      <xdr:col>2</xdr:col>
      <xdr:colOff>3314700</xdr:colOff>
      <xdr:row>18</xdr:row>
      <xdr:rowOff>28575</xdr:rowOff>
    </xdr:to>
    <mc:AlternateContent xmlns:mc="http://schemas.openxmlformats.org/markup-compatibility/2006">
      <mc:Choice xmlns:a14="http://schemas.microsoft.com/office/drawing/2010/main" Requires="a14">
        <xdr:graphicFrame macro="">
          <xdr:nvGraphicFramePr>
            <xdr:cNvPr id="3" name="Current price">
              <a:extLst>
                <a:ext uri="{FF2B5EF4-FFF2-40B4-BE49-F238E27FC236}">
                  <a16:creationId xmlns:a16="http://schemas.microsoft.com/office/drawing/2014/main" id="{2309A831-2344-F504-A363-354C849917F8}"/>
                </a:ext>
              </a:extLst>
            </xdr:cNvPr>
            <xdr:cNvGraphicFramePr/>
          </xdr:nvGraphicFramePr>
          <xdr:xfrm>
            <a:off x="0" y="0"/>
            <a:ext cx="0" cy="0"/>
          </xdr:xfrm>
          <a:graphic>
            <a:graphicData uri="http://schemas.microsoft.com/office/drawing/2010/slicer">
              <sle:slicer xmlns:sle="http://schemas.microsoft.com/office/drawing/2010/slicer" name="Current price"/>
            </a:graphicData>
          </a:graphic>
        </xdr:graphicFrame>
      </mc:Choice>
      <mc:Fallback>
        <xdr:sp macro="" textlink="">
          <xdr:nvSpPr>
            <xdr:cNvPr id="0" name=""/>
            <xdr:cNvSpPr>
              <a:spLocks noTextEdit="1"/>
            </xdr:cNvSpPr>
          </xdr:nvSpPr>
          <xdr:spPr>
            <a:xfrm>
              <a:off x="3416300" y="8191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123824</xdr:colOff>
      <xdr:row>2</xdr:row>
      <xdr:rowOff>146050</xdr:rowOff>
    </xdr:from>
    <xdr:to>
      <xdr:col>27</xdr:col>
      <xdr:colOff>0</xdr:colOff>
      <xdr:row>19</xdr:row>
      <xdr:rowOff>158750</xdr:rowOff>
    </xdr:to>
    <xdr:graphicFrame macro="">
      <xdr:nvGraphicFramePr>
        <xdr:cNvPr id="4" name="Chart 3">
          <a:extLst>
            <a:ext uri="{FF2B5EF4-FFF2-40B4-BE49-F238E27FC236}">
              <a16:creationId xmlns:a16="http://schemas.microsoft.com/office/drawing/2014/main" id="{8D635551-6C81-EEAA-DCA1-E92AF628A5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92075</xdr:colOff>
      <xdr:row>0</xdr:row>
      <xdr:rowOff>177800</xdr:rowOff>
    </xdr:from>
    <xdr:to>
      <xdr:col>10</xdr:col>
      <xdr:colOff>396875</xdr:colOff>
      <xdr:row>17</xdr:row>
      <xdr:rowOff>82550</xdr:rowOff>
    </xdr:to>
    <xdr:graphicFrame macro="">
      <xdr:nvGraphicFramePr>
        <xdr:cNvPr id="4" name="Chart 3">
          <a:extLst>
            <a:ext uri="{FF2B5EF4-FFF2-40B4-BE49-F238E27FC236}">
              <a16:creationId xmlns:a16="http://schemas.microsoft.com/office/drawing/2014/main" id="{D0DAFAB0-D23B-4694-6DB9-B59C0BC7A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25400</xdr:colOff>
      <xdr:row>1</xdr:row>
      <xdr:rowOff>12700</xdr:rowOff>
    </xdr:from>
    <xdr:to>
      <xdr:col>7</xdr:col>
      <xdr:colOff>330200</xdr:colOff>
      <xdr:row>18</xdr:row>
      <xdr:rowOff>85725</xdr:rowOff>
    </xdr:to>
    <xdr:graphicFrame macro="">
      <xdr:nvGraphicFramePr>
        <xdr:cNvPr id="2" name="Chart 1">
          <a:extLst>
            <a:ext uri="{FF2B5EF4-FFF2-40B4-BE49-F238E27FC236}">
              <a16:creationId xmlns:a16="http://schemas.microsoft.com/office/drawing/2014/main" id="{9AFA4A4B-FC2E-4DA9-B67D-92D444EEB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596900</xdr:colOff>
      <xdr:row>1</xdr:row>
      <xdr:rowOff>146050</xdr:rowOff>
    </xdr:from>
    <xdr:to>
      <xdr:col>15</xdr:col>
      <xdr:colOff>57150</xdr:colOff>
      <xdr:row>9</xdr:row>
      <xdr:rowOff>165100</xdr:rowOff>
    </xdr:to>
    <xdr:sp macro="" textlink="">
      <xdr:nvSpPr>
        <xdr:cNvPr id="3" name="TextBox 2">
          <a:extLst>
            <a:ext uri="{FF2B5EF4-FFF2-40B4-BE49-F238E27FC236}">
              <a16:creationId xmlns:a16="http://schemas.microsoft.com/office/drawing/2014/main" id="{FFAAE110-CEF3-644E-A05C-46CFEB4776F7}"/>
            </a:ext>
          </a:extLst>
        </xdr:cNvPr>
        <xdr:cNvSpPr txBox="1"/>
      </xdr:nvSpPr>
      <xdr:spPr>
        <a:xfrm>
          <a:off x="4864100" y="330200"/>
          <a:ext cx="4337050" cy="149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The number</a:t>
          </a:r>
          <a:r>
            <a:rPr lang="en-GB" sz="1100" baseline="0"/>
            <a:t> of Reviews tend to increase with an increase in discount. For every 1%  increase in discount reviews tends to increase by about 0.86</a:t>
          </a:r>
          <a:r>
            <a:rPr lang="en-GB"/>
            <a:t>; however, the wide dispersion of data points indicates that discounting alone does not strongly predict review volume</a:t>
          </a:r>
          <a:endParaRPr lang="en-GB"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307975</xdr:colOff>
      <xdr:row>2</xdr:row>
      <xdr:rowOff>57150</xdr:rowOff>
    </xdr:from>
    <xdr:to>
      <xdr:col>10</xdr:col>
      <xdr:colOff>3175</xdr:colOff>
      <xdr:row>17</xdr:row>
      <xdr:rowOff>38100</xdr:rowOff>
    </xdr:to>
    <xdr:graphicFrame macro="">
      <xdr:nvGraphicFramePr>
        <xdr:cNvPr id="2" name="Chart 1">
          <a:extLst>
            <a:ext uri="{FF2B5EF4-FFF2-40B4-BE49-F238E27FC236}">
              <a16:creationId xmlns:a16="http://schemas.microsoft.com/office/drawing/2014/main" id="{E77410C4-5C8F-B618-E107-6F2446C5D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050.712758333335" createdVersion="8" refreshedVersion="8" minRefreshableVersion="3" recordCount="112" xr:uid="{181F502D-7D9A-4BF0-8ADD-EB6E926F48CC}">
  <cacheSource type="worksheet">
    <worksheetSource ref="A1:I113" sheet="Assignment 2"/>
  </cacheSource>
  <cacheFields count="9">
    <cacheField name="Product" numFmtId="0">
      <sharedItems count="109">
        <s v="32PCS Portable Cordless Drill Set With Cyclic Battery Drive -26 Variable Speed"/>
        <s v="Konka Healty Electric Kettle, 24-hour Heat Preservation,1.5L,800W, White"/>
        <s v="Metal Wall Clock Silver Dial Crystal Jewelry Round Home Decoration Wall Clock"/>
        <s v="220V 60W Electric Soldering Iron Kits With Tools, Tips, And Multimeter"/>
        <s v="LED Wall Digital Alarm Clock Study Home 12 / 24H Clock Calendar"/>
        <s v="Portable Wardrobe Nonwoven With 3 Hanging Rods And 6 Storage Shelves"/>
        <s v="12V 19500rpm Handheld Electric Angle Grinder Tool - UK - Yellow/Black"/>
        <s v="LASA Stainless Steel Double Wall Mount Soap Dispenser - 500ml"/>
        <s v="137 Pieces Cake Decorating Tool Set Baking Supplies"/>
        <s v="Large Lazy Inflatable Sofa Chairs PVC Lounger Seat Bag"/>
        <s v="MultiFunctional Storage Rack Multi-layer Bookshelf"/>
        <s v="Portable Mini Cordless Car Vacuum Cleaner - Blue"/>
        <s v="5 Pieces/set Of Stainless Steel Induction Cooker Pots"/>
        <s v="Shower Cap Wide Elastic Band Cover Reusable Bashroom Cap"/>
        <s v="5-PCS Stainless Steel Cooking Pot Set With Steamed Slices"/>
        <s v="LASA 3 Tier Bamboo Shoe Bench Storage Shelf"/>
        <s v="LASA Aluminum Folding Truck Hand Cart - 68kg Max"/>
        <s v="53 Pieces/Set Yarn Knitting Crochet Hooks With Bag - Pansies"/>
        <s v="53Pcs/Set Yarn Knitting Crochet Hooks With Bag - Fortune Cat"/>
        <s v="24 Grid Wall-mounted Sundries Organiser Fabric Closet Bag Storage Rack"/>
        <s v="4pcs Bathroom/Kitchen Towel Rack,Roll Paper Holder,Towel Bars,Hook"/>
        <s v="LED Eye Protection  Desk Lamp , Study, Reading, USB Fan - Double Pen Holder"/>
        <s v="1/2/3 Seater Elastic Sofa Cover,Living Room/Home Decor Chair Cover-Grey"/>
        <s v="Thickening Multipurpose Non Stick Easy To Clean Heat Resistant Spoon Pad"/>
        <s v="52 Pieces Cake Decorating Tool Set Gift Kit Baking Supplies"/>
        <s v="Portable Home Small Air Humidifier 3-Speed Fan - Green"/>
        <s v="Cushion Silicone Butt Cushion Summer Ice Cushion Honeycomb Gel Cushion"/>
        <s v="Multifunction Laser Level With Adjustment Tripod"/>
        <s v="2 Pairs Cowhide Split Leather Work Gloves.32â„‰ Or Above Welding Gloves"/>
        <s v="Pen Grips For Kids Pen Grip Posture Correction Tool For Kids"/>
        <s v="Shower Nozzle Cleaning Unclogging Needle Mini Crevice Small Hole Cleaning Brush"/>
        <s v="Foldable Overbed Table/Desk"/>
        <s v="DIY File Folder, Office Drawer File Holder, Pen Holder, Desktop Storage Rack"/>
        <s v="13 In 1 Home Repair Tools Box Kit Set"/>
        <s v="Weighing Scale Digital Bathroom Body Fat Scale USB-Black"/>
        <s v="Electric LED UV Mosquito Killer Lamp, Outdoor/Indoor Fly Killer Trap Light -USB"/>
        <s v="Wall Mount Automatic Toothpaste Dispenser Toothbrush Holder Toothpaste Squeezer"/>
        <s v="Wall-Mounted Toothbrush Toothpaste Holder With Multiple Slots"/>
        <s v="Office Chair Lumbar Back Support Spine Posture Correction Pillow Car Cushion"/>
        <s v="Portable Soap Dispenser Kitchen Detergent Press Box Kitchen Tools"/>
        <s v="5m Waterproof Spherical LED String Lights Outdoor Ball Chain Lights Party Lighting Decoration Adjustable"/>
        <s v="Multi-purpose Rice Drainage Basket And Fruit And Vegetable Drainage Sieve"/>
        <s v="9pcs Gas Mask, For Painting, Dust, Formaldehyde Grinding, Polishing"/>
        <s v="12 Litre Black Insulated Lunch Box"/>
        <s v="Portable Wine Table With Folding Round Table"/>
        <s v="LASA FOLDING TABLE SERVING STAND"/>
        <s v="VIC Wireless Vacuum Cleaner Dual Use For Home And Car 120W High Power Powerful"/>
        <s v="2PCS Ice Silk Square Cushion Cover Pillowcases - 65x65cm"/>
        <s v="2pcs Solar Street Light Flood Light Outdoor"/>
        <s v="60W Hot Melt Glue Sprayer - Efficient And Stable Glue Dispensing"/>
        <s v="Cartoon Embroidered Mini Towel Bear Cotton Wash Cloth Hand 4pcs"/>
        <s v="Memory Foam Neck Pillow Cover, With Pillow Core - 50*30cm"/>
        <s v="LED Solar Street Light-fake Camera"/>
        <s v="8in1 Screwdriver With LED Light"/>
        <s v="380ML USB Rechargeable Portable Small Blenders And Juicers"/>
        <s v="Christmas Elk Fence Yard Lawn Decorations Cute For Holidays"/>
        <s v="3D Waterproof EVA Plastic Shower Curtain 1.8*2Mtrs"/>
        <s v="100 Pcs Crochet Hook Tool Set Knitting Hook Set With Box"/>
        <s v="Artificial Potted Flowers Room Decorative Flowers (2 Pieces)"/>
        <s v="Desk Foldable Fan Adjustable Fan Strong Wind 3 Gear Usb"/>
        <s v="12 Litre Insulated Lunch Box Grey"/>
        <s v="Bedroom Simple Floor Hanging Clothes Rack Single Pole Hat Rack - White"/>
        <s v="7-piece Set Of Storage Bags, Travel Storage Bags, Shoe Bags"/>
        <s v="115  Piece Set Of Multifunctional Precision Screwdrivers"/>
        <s v="6 Layers Steel Pipe Assembling Dustproof Storage Shoe Cabinet"/>
        <s v="LED Romantic Spaceship Starry Sky Projector,Children's Bedroom Night Light-Blue"/>
        <s v="Wall Clock With Hidden Safe Box"/>
        <s v="Angle Measuring Tool Full Metal Multi Angle Measuring Tool"/>
        <s v="Cute Christmas Fence Garden Decorations For Holiday Home"/>
        <s v="Genebre 115 In 1 Screwdriver Repairing Tool Set For IPhone Cellphone Hand Tool"/>
        <s v="Outdoor Portable Water Bottle With Medicine Box - 600ML - Black"/>
        <s v="2PCS/LOT Solar LED Outdoor Intelligent Light Controlled Wall Lamp"/>
        <s v="Christmas Fence Garden Decorations Outdoor For Holiday Home"/>
        <s v="3PCS Rotary Scraper Thermomix For Kitchen"/>
        <s v="Car Phone Charging Stand"/>
        <s v="Multifunctional Hanging Storage Box Storage Bag (4 Layers)"/>
        <s v="Balloon Insert, Birthday Party Balloon Set, PU Leather"/>
        <s v="40cm Gold DIY Acrylic Wall Sticker Clock"/>
        <s v="Metal Decorative Hooks Key Hangers Entryway Wall Hooks Towel Hooks - Home"/>
        <s v="Baby Early Education Shape And Color Cognitive Training Toys"/>
        <s v="Wrought Iron Bathroom Shelf Wall Mounted Free Punch Toilet Rack"/>
        <s v="LASA Digital Thermometer And Hydrometer"/>
        <s v="Simple Metal Dog Art Sculpture Decoration For Home Office"/>
        <s v="4M Float Switch Water Level Controller -Water Tank"/>
        <s v="Mythco 120COB Solar Wall Ligt With Motion Sensor And Remote Control 3 Modes"/>
        <s v="Wall-mounted Sticker Punch-free Plug Fixer"/>
        <s v="120W Cordless Vacuum Cleaners Handheld Electric Vacuum Cleaner"/>
        <s v="Electronic Digital Display Vernier Caliper"/>
        <s v="Punch-free Great Load Bearing Bathroom Storage Rack Wall Shelf-White"/>
        <s v="Agapeon Toothbrush Holder And Toothpaste Dispenser"/>
        <s v="Watercolour Gold Foil Textured Print Pillow Cover"/>
        <s v="Anti-Skid Absorbent Insulation Coaster  For Home Office"/>
        <s v="Household Pineapple Peeler Peeler"/>
        <s v="Intelligent  LED Body Sensor Wireless Lighting Night Light USB"/>
        <s v="Brush &amp; Paintbrush Cleaning Tool Pink"/>
        <s v="Pilates Cloth Bag Waterproof Durable High Capacity Purple"/>
        <s v="Cartoon Car Decoration Cute Individuality For Car Home Desk"/>
        <s v="4 Piece Coloured Stainless Steel Kitchenware Set"/>
        <s v="Modern Sofa Throw Pillow Cover-45x45cm-Blue&amp;Red"/>
        <s v="7PCS Silicone Thumb Knife Finger Protector Vegetable Harvesting Knife"/>
        <s v="6 In 1 Bottle Can Opener Multifunctional Easy Opener"/>
        <s v="Creative Owl Shape Keychain Black"/>
        <s v="1PC Refrigerator Food Seal Pocket Fridge Bags"/>
        <s v="Peacock  Throw Pillow Cushion Case For Home Car"/>
        <s v="Exfoliate And Exfoliate Face Towel - Black"/>
        <s v="Classic Black Cat Cotton Hemp Pillow Case For Home Car"/>
        <s v="Black Simple Water Cup Wine Coaster Anti Slip Absorbent"/>
        <s v="Sewing Machine Needle Threader Stitch Insertion Tool Automatic Quick Sewing"/>
        <s v="3PCS Single Head Knitting Crochet Sweater Needle Set"/>
      </sharedItems>
    </cacheField>
    <cacheField name="Current price" numFmtId="8">
      <sharedItems containsSemiMixedTypes="0" containsString="0" containsNumber="1" containsInteger="1" minValue="38" maxValue="3750"/>
    </cacheField>
    <cacheField name="old price" numFmtId="8">
      <sharedItems containsSemiMixedTypes="0" containsString="0" containsNumber="1" containsInteger="1" minValue="80" maxValue="6143"/>
    </cacheField>
    <cacheField name="Discount" numFmtId="10">
      <sharedItems containsSemiMixedTypes="0" containsString="0" containsNumber="1" minValue="1.2638230647709321E-2" maxValue="0.64014466546112114" count="105">
        <n v="0.38954908025394758"/>
        <n v="0.20662598081952921"/>
        <n v="4.1362530413625302E-2"/>
        <n v="8.8449848024316116E-2"/>
        <n v="0.18924033522573669"/>
        <n v="0.18181818181818182"/>
        <n v="0.26535433070866143"/>
        <n v="0.38492507269067322"/>
        <n v="0.23515831134564644"/>
        <n v="0.29012345679012347"/>
        <n v="0.46078431372549017"/>
        <n v="0.24769072870338693"/>
        <n v="0.13200000000000001"/>
        <n v="1.705855232826187E-2"/>
        <n v="0.55000000000000004"/>
        <n v="0.54488888888888887"/>
        <n v="0.49005288340468395"/>
        <n v="0.26639496109670247"/>
        <n v="0.26792452830188679"/>
        <n v="1.2638230647709321E-2"/>
        <n v="0.42236024844720499"/>
        <n v="0.47851002865329512"/>
        <n v="0.33333333333333331"/>
        <n v="1.7231795441912175E-2"/>
        <n v="0.2965186074429772"/>
        <n v="0.26146010186757218"/>
        <n v="3.7242912729294052E-2"/>
        <n v="0.32773109243697479"/>
        <n v="1.9423190111830489E-2"/>
        <n v="2.2954679223072396E-2"/>
        <n v="2.4131842260153032E-2"/>
        <n v="0.23255813953488372"/>
        <n v="0.39776951672862454"/>
        <n v="0.45373847729600547"/>
        <n v="0.36774709883953582"/>
        <n v="0.4745649263721553"/>
        <n v="8.0722891566265054E-2"/>
        <n v="0.13596233078281342"/>
        <n v="0.13713949381989404"/>
        <n v="2.4683122081387593E-2"/>
        <n v="0.36244541484716158"/>
        <n v="2.6684456304202801E-2"/>
        <n v="0.41322314049586778"/>
        <n v="0.32160804020100503"/>
        <n v="0.48"/>
        <n v="0.54500000000000004"/>
        <n v="0.21543408360128619"/>
        <n v="0.5"/>
        <n v="0.38461538461538464"/>
        <n v="0.34254143646408841"/>
        <n v="0.45929968167348795"/>
        <n v="0.3379389752446747"/>
        <n v="0.42369263607257202"/>
        <n v="0.50049999999999994"/>
        <n v="0.49237029501525942"/>
        <n v="0.34"/>
        <n v="0.45424476295479604"/>
        <n v="0.37468354430379747"/>
        <n v="0.34228187919463088"/>
        <n v="0.49010416666666667"/>
        <n v="0.46637265711135611"/>
        <n v="0.37704918032786883"/>
        <n v="0.47086521483225424"/>
        <n v="0.34814814814814815"/>
        <n v="0.49010848755583919"/>
        <n v="0.4050632911392405"/>
        <n v="0.20020020020020021"/>
        <n v="0.11222222222222222"/>
        <n v="0.46801346801346799"/>
        <n v="0.47952345495160087"/>
        <n v="0.42499999999999999"/>
        <n v="0.49012158054711247"/>
        <n v="0.48990683229813664"/>
        <n v="0.42727272727272725"/>
        <n v="0.42452830188679247"/>
        <n v="0.46666666666666667"/>
        <n v="0.47247247247247248"/>
        <n v="0.48979591836734693"/>
        <n v="0.43381535038932145"/>
        <n v="0.41744186046511628"/>
        <n v="0.44555555555555554"/>
        <n v="0.53549695740365111"/>
        <n v="0.49026345933562426"/>
        <n v="0.3508500772797527"/>
        <n v="0.5546875"/>
        <n v="0.40701219512195119"/>
        <n v="0.45428571428571429"/>
        <n v="0.42691029900332228"/>
        <n v="0.51461988304093564"/>
        <n v="0.48995363214837712"/>
        <n v="0.5220588235294118"/>
        <n v="0.50166666666666671"/>
        <n v="0.22135416666666666"/>
        <n v="0.48975791433891991"/>
        <n v="0.48971193415637859"/>
        <n v="0.48888888888888887"/>
        <n v="0.64014466546112114"/>
        <n v="0.60515873015873012"/>
        <n v="0.23846153846153847"/>
        <n v="0.45833333333333331"/>
        <n v="0.51570680628272247"/>
        <n v="0.48985507246376814"/>
        <n v="0.52500000000000002"/>
        <n v="0.47187499999999999"/>
        <n v="0.47499999999999998"/>
      </sharedItems>
    </cacheField>
    <cacheField name="DISCOUNT CATEGORY" numFmtId="0">
      <sharedItems count="3">
        <s v="Medium"/>
        <s v="Low"/>
        <s v="High"/>
      </sharedItems>
    </cacheField>
    <cacheField name="Review" numFmtId="0">
      <sharedItems containsSemiMixedTypes="0" containsString="0" containsNumber="1" containsInteger="1" minValue="-69" maxValue="0"/>
    </cacheField>
    <cacheField name="Rating(Out of 5)" numFmtId="0">
      <sharedItems containsSemiMixedTypes="0" containsString="0" containsNumber="1" minValue="2" maxValue="5" count="23">
        <n v="3"/>
        <n v="5"/>
        <n v="3.9"/>
        <n v="4"/>
        <n v="4.5999999999999996"/>
        <n v="3.8"/>
        <n v="2.5"/>
        <n v="2.1"/>
        <n v="4.3"/>
        <n v="4.5"/>
        <n v="4.7"/>
        <n v="4.0999999999999996"/>
        <n v="4.8"/>
        <n v="4.2"/>
        <n v="4.4000000000000004"/>
        <n v="2.9"/>
        <n v="2.2999999999999998"/>
        <n v="2.2000000000000002"/>
        <n v="2"/>
        <n v="2.8"/>
        <n v="2.6"/>
        <n v="2.7"/>
        <n v="3.3"/>
      </sharedItems>
    </cacheField>
    <cacheField name="Rating Category" numFmtId="0">
      <sharedItems count="3">
        <s v="Medium"/>
        <s v="Excellent"/>
        <s v="Poor"/>
      </sharedItems>
    </cacheField>
    <cacheField name="New Review" numFmtId="0">
      <sharedItems containsSemiMixedTypes="0" containsString="0" containsNumber="1" containsInteger="1" minValue="0" maxValue="69" count="24">
        <n v="5"/>
        <n v="1"/>
        <n v="0"/>
        <n v="15"/>
        <n v="12"/>
        <n v="55"/>
        <n v="24"/>
        <n v="6"/>
        <n v="13"/>
        <n v="7"/>
        <n v="3"/>
        <n v="32"/>
        <n v="20"/>
        <n v="9"/>
        <n v="2"/>
        <n v="14"/>
        <n v="16"/>
        <n v="44"/>
        <n v="39"/>
        <n v="10"/>
        <n v="69"/>
        <n v="49"/>
        <n v="36"/>
        <n v="17"/>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053.510776041665" createdVersion="8" refreshedVersion="8" minRefreshableVersion="3" recordCount="113" xr:uid="{5FEA9D8C-F9A8-438A-8096-AB7216A0E9EB}">
  <cacheSource type="worksheet">
    <worksheetSource ref="A1:I113" sheet="Assignment 2"/>
  </cacheSource>
  <cacheFields count="9">
    <cacheField name="Product" numFmtId="0">
      <sharedItems containsBlank="1" count="110">
        <s v="32PCS Portable Cordless Drill Set With Cyclic Battery Drive -26 Variable Speed"/>
        <s v="Konka Healty Electric Kettle, 24-hour Heat Preservation,1.5L,800W, White"/>
        <s v="Metal Wall Clock Silver Dial Crystal Jewelry Round Home Decoration Wall Clock"/>
        <s v="220V 60W Electric Soldering Iron Kits With Tools, Tips, And Multimeter"/>
        <s v="LED Wall Digital Alarm Clock Study Home 12 / 24H Clock Calendar"/>
        <s v="Portable Wardrobe Nonwoven With 3 Hanging Rods And 6 Storage Shelves"/>
        <s v="12V 19500rpm Handheld Electric Angle Grinder Tool - UK - Yellow/Black"/>
        <s v="LASA Stainless Steel Double Wall Mount Soap Dispenser - 500ml"/>
        <s v="137 Pieces Cake Decorating Tool Set Baking Supplies"/>
        <s v="Large Lazy Inflatable Sofa Chairs PVC Lounger Seat Bag"/>
        <s v="MultiFunctional Storage Rack Multi-layer Bookshelf"/>
        <s v="Portable Mini Cordless Car Vacuum Cleaner - Blue"/>
        <s v="5 Pieces/set Of Stainless Steel Induction Cooker Pots"/>
        <s v="Shower Cap Wide Elastic Band Cover Reusable Bashroom Cap"/>
        <s v="5-PCS Stainless Steel Cooking Pot Set With Steamed Slices"/>
        <s v="LASA 3 Tier Bamboo Shoe Bench Storage Shelf"/>
        <s v="LASA Aluminum Folding Truck Hand Cart - 68kg Max"/>
        <s v="53 Pieces/Set Yarn Knitting Crochet Hooks With Bag - Pansies"/>
        <s v="53Pcs/Set Yarn Knitting Crochet Hooks With Bag - Fortune Cat"/>
        <s v="24 Grid Wall-mounted Sundries Organiser Fabric Closet Bag Storage Rack"/>
        <s v="4pcs Bathroom/Kitchen Towel Rack,Roll Paper Holder,Towel Bars,Hook"/>
        <s v="LED Eye Protection  Desk Lamp , Study, Reading, USB Fan - Double Pen Holder"/>
        <s v="1/2/3 Seater Elastic Sofa Cover,Living Room/Home Decor Chair Cover-Grey"/>
        <s v="Thickening Multipurpose Non Stick Easy To Clean Heat Resistant Spoon Pad"/>
        <s v="52 Pieces Cake Decorating Tool Set Gift Kit Baking Supplies"/>
        <s v="Portable Home Small Air Humidifier 3-Speed Fan - Green"/>
        <s v="Cushion Silicone Butt Cushion Summer Ice Cushion Honeycomb Gel Cushion"/>
        <s v="Multifunction Laser Level With Adjustment Tripod"/>
        <s v="2 Pairs Cowhide Split Leather Work Gloves.32â„‰ Or Above Welding Gloves"/>
        <s v="Pen Grips For Kids Pen Grip Posture Correction Tool For Kids"/>
        <s v="Shower Nozzle Cleaning Unclogging Needle Mini Crevice Small Hole Cleaning Brush"/>
        <s v="Foldable Overbed Table/Desk"/>
        <s v="DIY File Folder, Office Drawer File Holder, Pen Holder, Desktop Storage Rack"/>
        <s v="13 In 1 Home Repair Tools Box Kit Set"/>
        <s v="Weighing Scale Digital Bathroom Body Fat Scale USB-Black"/>
        <s v="Electric LED UV Mosquito Killer Lamp, Outdoor/Indoor Fly Killer Trap Light -USB"/>
        <s v="Wall Mount Automatic Toothpaste Dispenser Toothbrush Holder Toothpaste Squeezer"/>
        <s v="Wall-Mounted Toothbrush Toothpaste Holder With Multiple Slots"/>
        <s v="Office Chair Lumbar Back Support Spine Posture Correction Pillow Car Cushion"/>
        <s v="Portable Soap Dispenser Kitchen Detergent Press Box Kitchen Tools"/>
        <s v="5m Waterproof Spherical LED String Lights Outdoor Ball Chain Lights Party Lighting Decoration Adjustable"/>
        <s v="Multi-purpose Rice Drainage Basket And Fruit And Vegetable Drainage Sieve"/>
        <s v="9pcs Gas Mask, For Painting, Dust, Formaldehyde Grinding, Polishing"/>
        <s v="12 Litre Black Insulated Lunch Box"/>
        <s v="Portable Wine Table With Folding Round Table"/>
        <s v="LASA FOLDING TABLE SERVING STAND"/>
        <s v="VIC Wireless Vacuum Cleaner Dual Use For Home And Car 120W High Power Powerful"/>
        <s v="2PCS Ice Silk Square Cushion Cover Pillowcases - 65x65cm"/>
        <s v="2pcs Solar Street Light Flood Light Outdoor"/>
        <s v="60W Hot Melt Glue Sprayer - Efficient And Stable Glue Dispensing"/>
        <s v="Cartoon Embroidered Mini Towel Bear Cotton Wash Cloth Hand 4pcs"/>
        <s v="Memory Foam Neck Pillow Cover, With Pillow Core - 50*30cm"/>
        <s v="LED Solar Street Light-fake Camera"/>
        <s v="8in1 Screwdriver With LED Light"/>
        <s v="380ML USB Rechargeable Portable Small Blenders And Juicers"/>
        <s v="Christmas Elk Fence Yard Lawn Decorations Cute For Holidays"/>
        <s v="3D Waterproof EVA Plastic Shower Curtain 1.8*2Mtrs"/>
        <s v="100 Pcs Crochet Hook Tool Set Knitting Hook Set With Box"/>
        <s v="Artificial Potted Flowers Room Decorative Flowers (2 Pieces)"/>
        <s v="Desk Foldable Fan Adjustable Fan Strong Wind 3 Gear Usb"/>
        <s v="12 Litre Insulated Lunch Box Grey"/>
        <s v="Bedroom Simple Floor Hanging Clothes Rack Single Pole Hat Rack - White"/>
        <s v="7-piece Set Of Storage Bags, Travel Storage Bags, Shoe Bags"/>
        <s v="115  Piece Set Of Multifunctional Precision Screwdrivers"/>
        <s v="6 Layers Steel Pipe Assembling Dustproof Storage Shoe Cabinet"/>
        <s v="LED Romantic Spaceship Starry Sky Projector,Children's Bedroom Night Light-Blue"/>
        <s v="Wall Clock With Hidden Safe Box"/>
        <s v="Angle Measuring Tool Full Metal Multi Angle Measuring Tool"/>
        <s v="Cute Christmas Fence Garden Decorations For Holiday Home"/>
        <s v="Genebre 115 In 1 Screwdriver Repairing Tool Set For IPhone Cellphone Hand Tool"/>
        <s v="Outdoor Portable Water Bottle With Medicine Box - 600ML - Black"/>
        <s v="2PCS/LOT Solar LED Outdoor Intelligent Light Controlled Wall Lamp"/>
        <s v="Christmas Fence Garden Decorations Outdoor For Holiday Home"/>
        <s v="3PCS Rotary Scraper Thermomix For Kitchen"/>
        <s v="Car Phone Charging Stand"/>
        <s v="Multifunctional Hanging Storage Box Storage Bag (4 Layers)"/>
        <s v="Balloon Insert, Birthday Party Balloon Set, PU Leather"/>
        <s v="40cm Gold DIY Acrylic Wall Sticker Clock"/>
        <s v="Metal Decorative Hooks Key Hangers Entryway Wall Hooks Towel Hooks - Home"/>
        <s v="Baby Early Education Shape And Color Cognitive Training Toys"/>
        <s v="Wrought Iron Bathroom Shelf Wall Mounted Free Punch Toilet Rack"/>
        <s v="LASA Digital Thermometer And Hydrometer"/>
        <s v="Simple Metal Dog Art Sculpture Decoration For Home Office"/>
        <s v="4M Float Switch Water Level Controller -Water Tank"/>
        <s v="Mythco 120COB Solar Wall Ligt With Motion Sensor And Remote Control 3 Modes"/>
        <s v="Wall-mounted Sticker Punch-free Plug Fixer"/>
        <s v="120W Cordless Vacuum Cleaners Handheld Electric Vacuum Cleaner"/>
        <s v="Electronic Digital Display Vernier Caliper"/>
        <s v="Punch-free Great Load Bearing Bathroom Storage Rack Wall Shelf-White"/>
        <s v="Agapeon Toothbrush Holder And Toothpaste Dispenser"/>
        <s v="Watercolour Gold Foil Textured Print Pillow Cover"/>
        <s v="Anti-Skid Absorbent Insulation Coaster  For Home Office"/>
        <s v="Household Pineapple Peeler Peeler"/>
        <s v="Intelligent  LED Body Sensor Wireless Lighting Night Light USB"/>
        <s v="Brush &amp; Paintbrush Cleaning Tool Pink"/>
        <s v="Pilates Cloth Bag Waterproof Durable High Capacity Purple"/>
        <s v="Cartoon Car Decoration Cute Individuality For Car Home Desk"/>
        <s v="4 Piece Coloured Stainless Steel Kitchenware Set"/>
        <s v="Modern Sofa Throw Pillow Cover-45x45cm-Blue&amp;Red"/>
        <s v="7PCS Silicone Thumb Knife Finger Protector Vegetable Harvesting Knife"/>
        <s v="6 In 1 Bottle Can Opener Multifunctional Easy Opener"/>
        <s v="Creative Owl Shape Keychain Black"/>
        <s v="1PC Refrigerator Food Seal Pocket Fridge Bags"/>
        <s v="Peacock  Throw Pillow Cushion Case For Home Car"/>
        <s v="Exfoliate And Exfoliate Face Towel - Black"/>
        <s v="Classic Black Cat Cotton Hemp Pillow Case For Home Car"/>
        <s v="Black Simple Water Cup Wine Coaster Anti Slip Absorbent"/>
        <s v="Sewing Machine Needle Threader Stitch Insertion Tool Automatic Quick Sewing"/>
        <s v="3PCS Single Head Knitting Crochet Sweater Needle Set"/>
        <m/>
      </sharedItems>
    </cacheField>
    <cacheField name="Current price" numFmtId="0">
      <sharedItems containsString="0" containsBlank="1" containsNumber="1" containsInteger="1" minValue="38" maxValue="3750"/>
    </cacheField>
    <cacheField name="old price" numFmtId="0">
      <sharedItems containsString="0" containsBlank="1" containsNumber="1" containsInteger="1" minValue="80" maxValue="6143"/>
    </cacheField>
    <cacheField name="Discount" numFmtId="10">
      <sharedItems containsSemiMixedTypes="0" containsString="0" containsNumber="1" minValue="1.2638230647709321E-2" maxValue="0.64014466546112114"/>
    </cacheField>
    <cacheField name="DISCOUNT CATEGORY" numFmtId="0">
      <sharedItems containsBlank="1"/>
    </cacheField>
    <cacheField name="Review" numFmtId="0">
      <sharedItems containsString="0" containsBlank="1" containsNumber="1" containsInteger="1" minValue="-69" maxValue="0"/>
    </cacheField>
    <cacheField name="Rating(Out of 5)" numFmtId="0">
      <sharedItems containsSemiMixedTypes="0" containsString="0" containsNumber="1" minValue="2" maxValue="5"/>
    </cacheField>
    <cacheField name="Rating Category" numFmtId="0">
      <sharedItems containsBlank="1"/>
    </cacheField>
    <cacheField name="New Review" numFmtId="0">
      <sharedItems containsSemiMixedTypes="0" containsString="0" containsNumber="1" containsInteger="1" minValue="0" maxValue="72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053.527622106485" createdVersion="8" refreshedVersion="8" minRefreshableVersion="3" recordCount="112" xr:uid="{93709300-55E8-4B8E-806F-CB647A3FF5C8}">
  <cacheSource type="worksheet">
    <worksheetSource ref="A1:I113" sheet="Data Clean"/>
  </cacheSource>
  <cacheFields count="9">
    <cacheField name="Product" numFmtId="0">
      <sharedItems count="109">
        <s v="32PCS Portable Cordless Drill Set With Cyclic Battery Drive -26 Variable Speed"/>
        <s v="Konka Healty Electric Kettle, 24-hour Heat Preservation,1.5L,800W, White"/>
        <s v="Metal Wall Clock Silver Dial Crystal Jewelry Round Home Decoration Wall Clock"/>
        <s v="220V 60W Electric Soldering Iron Kits With Tools, Tips, And Multimeter"/>
        <s v="LED Wall Digital Alarm Clock Study Home 12 / 24H Clock Calendar"/>
        <s v="Portable Wardrobe Nonwoven With 3 Hanging Rods And 6 Storage Shelves"/>
        <s v="12V 19500rpm Handheld Electric Angle Grinder Tool - UK - Yellow/Black"/>
        <s v="LASA Stainless Steel Double Wall Mount Soap Dispenser - 500ml"/>
        <s v="137 Pieces Cake Decorating Tool Set Baking Supplies"/>
        <s v="Large Lazy Inflatable Sofa Chairs PVC Lounger Seat Bag"/>
        <s v="MultiFunctional Storage Rack Multi-layer Bookshelf"/>
        <s v="Portable Mini Cordless Car Vacuum Cleaner - Blue"/>
        <s v="5 Pieces/set Of Stainless Steel Induction Cooker Pots"/>
        <s v="Shower Cap Wide Elastic Band Cover Reusable Bashroom Cap"/>
        <s v="5-PCS Stainless Steel Cooking Pot Set With Steamed Slices"/>
        <s v="LASA 3 Tier Bamboo Shoe Bench Storage Shelf"/>
        <s v="LASA Aluminum Folding Truck Hand Cart - 68kg Max"/>
        <s v="53 Pieces/Set Yarn Knitting Crochet Hooks With Bag - Pansies"/>
        <s v="53Pcs/Set Yarn Knitting Crochet Hooks With Bag - Fortune Cat"/>
        <s v="24 Grid Wall-mounted Sundries Organiser Fabric Closet Bag Storage Rack"/>
        <s v="4pcs Bathroom/Kitchen Towel Rack,Roll Paper Holder,Towel Bars,Hook"/>
        <s v="LED Eye Protection  Desk Lamp , Study, Reading, USB Fan - Double Pen Holder"/>
        <s v="1/2/3 Seater Elastic Sofa Cover,Living Room/Home Decor Chair Cover-Grey"/>
        <s v="Thickening Multipurpose Non Stick Easy To Clean Heat Resistant Spoon Pad"/>
        <s v="52 Pieces Cake Decorating Tool Set Gift Kit Baking Supplies"/>
        <s v="Portable Home Small Air Humidifier 3-Speed Fan - Green"/>
        <s v="Cushion Silicone Butt Cushion Summer Ice Cushion Honeycomb Gel Cushion"/>
        <s v="Multifunction Laser Level With Adjustment Tripod"/>
        <s v="2 Pairs Cowhide Split Leather Work Gloves.32â„‰ Or Above Welding Gloves"/>
        <s v="Pen Grips For Kids Pen Grip Posture Correction Tool For Kids"/>
        <s v="Shower Nozzle Cleaning Unclogging Needle Mini Crevice Small Hole Cleaning Brush"/>
        <s v="Foldable Overbed Table/Desk"/>
        <s v="DIY File Folder, Office Drawer File Holder, Pen Holder, Desktop Storage Rack"/>
        <s v="13 In 1 Home Repair Tools Box Kit Set"/>
        <s v="Weighing Scale Digital Bathroom Body Fat Scale USB-Black"/>
        <s v="Electric LED UV Mosquito Killer Lamp, Outdoor/Indoor Fly Killer Trap Light -USB"/>
        <s v="Wall Mount Automatic Toothpaste Dispenser Toothbrush Holder Toothpaste Squeezer"/>
        <s v="Wall-Mounted Toothbrush Toothpaste Holder With Multiple Slots"/>
        <s v="Office Chair Lumbar Back Support Spine Posture Correction Pillow Car Cushion"/>
        <s v="Portable Soap Dispenser Kitchen Detergent Press Box Kitchen Tools"/>
        <s v="5m Waterproof Spherical LED String Lights Outdoor Ball Chain Lights Party Lighting Decoration Adjustable"/>
        <s v="Multi-purpose Rice Drainage Basket And Fruit And Vegetable Drainage Sieve"/>
        <s v="9pcs Gas Mask, For Painting, Dust, Formaldehyde Grinding, Polishing"/>
        <s v="12 Litre Black Insulated Lunch Box"/>
        <s v="Portable Wine Table With Folding Round Table"/>
        <s v="LASA FOLDING TABLE SERVING STAND"/>
        <s v="VIC Wireless Vacuum Cleaner Dual Use For Home And Car 120W High Power Powerful"/>
        <s v="2PCS Ice Silk Square Cushion Cover Pillowcases - 65x65cm"/>
        <s v="2pcs Solar Street Light Flood Light Outdoor"/>
        <s v="60W Hot Melt Glue Sprayer - Efficient And Stable Glue Dispensing"/>
        <s v="Cartoon Embroidered Mini Towel Bear Cotton Wash Cloth Hand 4pcs"/>
        <s v="Memory Foam Neck Pillow Cover, With Pillow Core - 50*30cm"/>
        <s v="LED Solar Street Light-fake Camera"/>
        <s v="8in1 Screwdriver With LED Light"/>
        <s v="380ML USB Rechargeable Portable Small Blenders And Juicers"/>
        <s v="Christmas Elk Fence Yard Lawn Decorations Cute For Holidays"/>
        <s v="3D Waterproof EVA Plastic Shower Curtain 1.8*2Mtrs"/>
        <s v="100 Pcs Crochet Hook Tool Set Knitting Hook Set With Box"/>
        <s v="Artificial Potted Flowers Room Decorative Flowers (2 Pieces)"/>
        <s v="Desk Foldable Fan Adjustable Fan Strong Wind 3 Gear Usb"/>
        <s v="12 Litre Insulated Lunch Box Grey"/>
        <s v="Bedroom Simple Floor Hanging Clothes Rack Single Pole Hat Rack - White"/>
        <s v="7-piece Set Of Storage Bags, Travel Storage Bags, Shoe Bags"/>
        <s v="115  Piece Set Of Multifunctional Precision Screwdrivers"/>
        <s v="6 Layers Steel Pipe Assembling Dustproof Storage Shoe Cabinet"/>
        <s v="LED Romantic Spaceship Starry Sky Projector,Children's Bedroom Night Light-Blue"/>
        <s v="Wall Clock With Hidden Safe Box"/>
        <s v="Angle Measuring Tool Full Metal Multi Angle Measuring Tool"/>
        <s v="Cute Christmas Fence Garden Decorations For Holiday Home"/>
        <s v="Genebre 115 In 1 Screwdriver Repairing Tool Set For IPhone Cellphone Hand Tool"/>
        <s v="Outdoor Portable Water Bottle With Medicine Box - 600ML - Black"/>
        <s v="2PCS/LOT Solar LED Outdoor Intelligent Light Controlled Wall Lamp"/>
        <s v="Christmas Fence Garden Decorations Outdoor For Holiday Home"/>
        <s v="3PCS Rotary Scraper Thermomix For Kitchen"/>
        <s v="Car Phone Charging Stand"/>
        <s v="Multifunctional Hanging Storage Box Storage Bag (4 Layers)"/>
        <s v="Balloon Insert, Birthday Party Balloon Set, PU Leather"/>
        <s v="40cm Gold DIY Acrylic Wall Sticker Clock"/>
        <s v="Metal Decorative Hooks Key Hangers Entryway Wall Hooks Towel Hooks - Home"/>
        <s v="Baby Early Education Shape And Color Cognitive Training Toys"/>
        <s v="Wrought Iron Bathroom Shelf Wall Mounted Free Punch Toilet Rack"/>
        <s v="LASA Digital Thermometer And Hydrometer"/>
        <s v="Simple Metal Dog Art Sculpture Decoration For Home Office"/>
        <s v="4M Float Switch Water Level Controller -Water Tank"/>
        <s v="Mythco 120COB Solar Wall Ligt With Motion Sensor And Remote Control 3 Modes"/>
        <s v="Wall-mounted Sticker Punch-free Plug Fixer"/>
        <s v="120W Cordless Vacuum Cleaners Handheld Electric Vacuum Cleaner"/>
        <s v="Electronic Digital Display Vernier Caliper"/>
        <s v="Punch-free Great Load Bearing Bathroom Storage Rack Wall Shelf-White"/>
        <s v="Agapeon Toothbrush Holder And Toothpaste Dispenser"/>
        <s v="Watercolour Gold Foil Textured Print Pillow Cover"/>
        <s v="Anti-Skid Absorbent Insulation Coaster  For Home Office"/>
        <s v="Household Pineapple Peeler Peeler"/>
        <s v="Intelligent  LED Body Sensor Wireless Lighting Night Light USB"/>
        <s v="Brush &amp; Paintbrush Cleaning Tool Pink"/>
        <s v="Pilates Cloth Bag Waterproof Durable High Capacity Purple"/>
        <s v="Cartoon Car Decoration Cute Individuality For Car Home Desk"/>
        <s v="4 Piece Coloured Stainless Steel Kitchenware Set"/>
        <s v="Modern Sofa Throw Pillow Cover-45x45cm-Blue&amp;Red"/>
        <s v="7PCS Silicone Thumb Knife Finger Protector Vegetable Harvesting Knife"/>
        <s v="6 In 1 Bottle Can Opener Multifunctional Easy Opener"/>
        <s v="Creative Owl Shape Keychain Black"/>
        <s v="1PC Refrigerator Food Seal Pocket Fridge Bags"/>
        <s v="Peacock  Throw Pillow Cushion Case For Home Car"/>
        <s v="Exfoliate And Exfoliate Face Towel - Black"/>
        <s v="Classic Black Cat Cotton Hemp Pillow Case For Home Car"/>
        <s v="Black Simple Water Cup Wine Coaster Anti Slip Absorbent"/>
        <s v="Sewing Machine Needle Threader Stitch Insertion Tool Automatic Quick Sewing"/>
        <s v="3PCS Single Head Knitting Crochet Sweater Needle Set"/>
      </sharedItems>
    </cacheField>
    <cacheField name="Current price" numFmtId="8">
      <sharedItems containsSemiMixedTypes="0" containsString="0" containsNumber="1" containsInteger="1" minValue="38" maxValue="3750" count="103">
        <n v="3750"/>
        <n v="3640"/>
        <n v="3546"/>
        <n v="2999"/>
        <n v="2880"/>
        <n v="2799"/>
        <n v="2750"/>
        <n v="2319"/>
        <n v="2300"/>
        <n v="2200"/>
        <n v="2199"/>
        <n v="2170"/>
        <n v="2132"/>
        <n v="2115"/>
        <n v="2048"/>
        <n v="2025"/>
        <n v="1980"/>
        <n v="1940"/>
        <n v="1875"/>
        <n v="1860"/>
        <n v="1820"/>
        <n v="1800"/>
        <n v="1768"/>
        <n v="1758"/>
        <n v="1740"/>
        <n v="1732"/>
        <n v="1680"/>
        <n v="1666"/>
        <n v="1660"/>
        <n v="1658"/>
        <n v="1650"/>
        <n v="1620"/>
        <n v="1600"/>
        <n v="1580"/>
        <n v="1570"/>
        <n v="1526"/>
        <n v="1468"/>
        <n v="1466"/>
        <n v="1462"/>
        <n v="1460"/>
        <n v="1459"/>
        <n v="1420"/>
        <n v="1350"/>
        <n v="1300"/>
        <n v="1274"/>
        <n v="1220"/>
        <n v="1200"/>
        <n v="1190"/>
        <n v="1189"/>
        <n v="1150"/>
        <n v="1080"/>
        <n v="1000"/>
        <n v="999"/>
        <n v="998"/>
        <n v="990"/>
        <n v="988"/>
        <n v="980"/>
        <n v="979"/>
        <n v="968"/>
        <n v="950"/>
        <n v="899"/>
        <n v="880"/>
        <n v="850"/>
        <n v="799"/>
        <n v="790"/>
        <n v="699"/>
        <n v="690"/>
        <n v="671"/>
        <n v="657"/>
        <n v="630"/>
        <n v="610"/>
        <n v="552"/>
        <n v="527"/>
        <n v="525"/>
        <n v="509"/>
        <n v="501"/>
        <n v="499"/>
        <n v="475"/>
        <n v="458"/>
        <n v="450"/>
        <n v="445"/>
        <n v="420"/>
        <n v="399"/>
        <n v="389"/>
        <n v="382"/>
        <n v="345"/>
        <n v="332"/>
        <n v="330"/>
        <n v="325"/>
        <n v="299"/>
        <n v="274"/>
        <n v="248"/>
        <n v="238"/>
        <n v="230"/>
        <n v="199"/>
        <n v="198"/>
        <n v="195"/>
        <n v="185"/>
        <n v="176"/>
        <n v="171"/>
        <n v="169"/>
        <n v="105"/>
        <n v="38"/>
      </sharedItems>
      <fieldGroup base="1">
        <rangePr autoStart="0" autoEnd="0" startNum="0" endNum="4000" groupInterval="500"/>
        <groupItems count="10">
          <s v="&lt;0"/>
          <s v="0-499"/>
          <s v="500-999"/>
          <s v="1000-1499"/>
          <s v="1500-1999"/>
          <s v="2000-2499"/>
          <s v="2500-2999"/>
          <s v="3000-3499"/>
          <s v="3500-4000"/>
          <s v="&gt;4000"/>
        </groupItems>
      </fieldGroup>
    </cacheField>
    <cacheField name="old price" numFmtId="8">
      <sharedItems containsSemiMixedTypes="0" containsString="0" containsNumber="1" containsInteger="1" minValue="80" maxValue="6143"/>
    </cacheField>
    <cacheField name="Discount" numFmtId="10">
      <sharedItems containsSemiMixedTypes="0" containsString="0" containsNumber="1" minValue="1.2638230647709321E-2" maxValue="0.64014466546112114"/>
    </cacheField>
    <cacheField name="DISCOUNT CATEGORY" numFmtId="0">
      <sharedItems count="3">
        <s v="Medium"/>
        <s v="Low"/>
        <s v="High"/>
      </sharedItems>
    </cacheField>
    <cacheField name="Review" numFmtId="0">
      <sharedItems containsSemiMixedTypes="0" containsString="0" containsNumber="1" containsInteger="1" minValue="-69" maxValue="0"/>
    </cacheField>
    <cacheField name="Rating(Out of 5)" numFmtId="0">
      <sharedItems containsSemiMixedTypes="0" containsString="0" containsNumber="1" minValue="2" maxValue="5" count="23">
        <n v="3"/>
        <n v="5"/>
        <n v="3.9"/>
        <n v="4"/>
        <n v="4.5999999999999996"/>
        <n v="3.8"/>
        <n v="2.5"/>
        <n v="2.1"/>
        <n v="4.3"/>
        <n v="4.5"/>
        <n v="4.7"/>
        <n v="4.0999999999999996"/>
        <n v="4.8"/>
        <n v="4.2"/>
        <n v="4.4000000000000004"/>
        <n v="2.9"/>
        <n v="2.2999999999999998"/>
        <n v="2.2000000000000002"/>
        <n v="2"/>
        <n v="2.8"/>
        <n v="2.6"/>
        <n v="2.7"/>
        <n v="3.3"/>
      </sharedItems>
    </cacheField>
    <cacheField name="Rating Category" numFmtId="0">
      <sharedItems count="3">
        <s v="Medium"/>
        <s v="Excellent"/>
        <s v="Poor"/>
      </sharedItems>
    </cacheField>
    <cacheField name="New Review" numFmtId="0">
      <sharedItems containsSemiMixedTypes="0" containsString="0" containsNumber="1" containsInteger="1" minValue="0" maxValue="69" count="24">
        <n v="5"/>
        <n v="1"/>
        <n v="0"/>
        <n v="15"/>
        <n v="12"/>
        <n v="55"/>
        <n v="24"/>
        <n v="6"/>
        <n v="13"/>
        <n v="7"/>
        <n v="3"/>
        <n v="32"/>
        <n v="20"/>
        <n v="9"/>
        <n v="2"/>
        <n v="14"/>
        <n v="16"/>
        <n v="44"/>
        <n v="39"/>
        <n v="10"/>
        <n v="69"/>
        <n v="49"/>
        <n v="36"/>
        <n v="17"/>
      </sharedItems>
    </cacheField>
  </cacheFields>
  <extLst>
    <ext xmlns:x14="http://schemas.microsoft.com/office/spreadsheetml/2009/9/main" uri="{725AE2AE-9491-48be-B2B4-4EB974FC3084}">
      <x14:pivotCacheDefinition pivotCacheId="511585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3750"/>
    <n v="6143"/>
    <x v="0"/>
    <x v="0"/>
    <n v="-5"/>
    <x v="0"/>
    <x v="0"/>
    <x v="0"/>
  </r>
  <r>
    <x v="1"/>
    <n v="3640"/>
    <n v="4588"/>
    <x v="1"/>
    <x v="0"/>
    <n v="-1"/>
    <x v="1"/>
    <x v="1"/>
    <x v="1"/>
  </r>
  <r>
    <x v="2"/>
    <n v="3546"/>
    <n v="3699"/>
    <x v="2"/>
    <x v="1"/>
    <n v="0"/>
    <x v="2"/>
    <x v="0"/>
    <x v="2"/>
  </r>
  <r>
    <x v="3"/>
    <n v="2999"/>
    <n v="3290"/>
    <x v="3"/>
    <x v="1"/>
    <n v="-15"/>
    <x v="3"/>
    <x v="0"/>
    <x v="3"/>
  </r>
  <r>
    <x v="4"/>
    <n v="2999"/>
    <n v="3699"/>
    <x v="4"/>
    <x v="1"/>
    <n v="-5"/>
    <x v="4"/>
    <x v="1"/>
    <x v="0"/>
  </r>
  <r>
    <x v="5"/>
    <n v="2880"/>
    <n v="3520"/>
    <x v="5"/>
    <x v="1"/>
    <n v="-12"/>
    <x v="5"/>
    <x v="0"/>
    <x v="4"/>
  </r>
  <r>
    <x v="6"/>
    <n v="2799"/>
    <n v="3810"/>
    <x v="6"/>
    <x v="0"/>
    <n v="0"/>
    <x v="2"/>
    <x v="0"/>
    <x v="2"/>
  </r>
  <r>
    <x v="7"/>
    <n v="2750"/>
    <n v="4471"/>
    <x v="7"/>
    <x v="0"/>
    <n v="0"/>
    <x v="2"/>
    <x v="0"/>
    <x v="2"/>
  </r>
  <r>
    <x v="8"/>
    <n v="2319"/>
    <n v="3032"/>
    <x v="8"/>
    <x v="0"/>
    <n v="-55"/>
    <x v="4"/>
    <x v="1"/>
    <x v="5"/>
  </r>
  <r>
    <x v="9"/>
    <n v="2300"/>
    <n v="3240"/>
    <x v="9"/>
    <x v="0"/>
    <n v="-5"/>
    <x v="0"/>
    <x v="0"/>
    <x v="0"/>
  </r>
  <r>
    <x v="10"/>
    <n v="2200"/>
    <n v="4080"/>
    <x v="10"/>
    <x v="2"/>
    <n v="0"/>
    <x v="2"/>
    <x v="0"/>
    <x v="2"/>
  </r>
  <r>
    <x v="11"/>
    <n v="2199"/>
    <n v="2923"/>
    <x v="11"/>
    <x v="0"/>
    <n v="-24"/>
    <x v="4"/>
    <x v="1"/>
    <x v="6"/>
  </r>
  <r>
    <x v="12"/>
    <n v="2170"/>
    <n v="2500"/>
    <x v="12"/>
    <x v="1"/>
    <n v="-6"/>
    <x v="6"/>
    <x v="2"/>
    <x v="7"/>
  </r>
  <r>
    <x v="13"/>
    <n v="2132"/>
    <n v="2169"/>
    <x v="13"/>
    <x v="1"/>
    <n v="0"/>
    <x v="2"/>
    <x v="0"/>
    <x v="2"/>
  </r>
  <r>
    <x v="14"/>
    <n v="2115"/>
    <n v="4700"/>
    <x v="14"/>
    <x v="2"/>
    <n v="-13"/>
    <x v="7"/>
    <x v="2"/>
    <x v="8"/>
  </r>
  <r>
    <x v="15"/>
    <n v="2048"/>
    <n v="4500"/>
    <x v="15"/>
    <x v="2"/>
    <n v="-7"/>
    <x v="8"/>
    <x v="0"/>
    <x v="9"/>
  </r>
  <r>
    <x v="16"/>
    <n v="2025"/>
    <n v="3971"/>
    <x v="16"/>
    <x v="2"/>
    <n v="-3"/>
    <x v="1"/>
    <x v="1"/>
    <x v="10"/>
  </r>
  <r>
    <x v="17"/>
    <n v="1980"/>
    <n v="2699"/>
    <x v="17"/>
    <x v="0"/>
    <n v="-32"/>
    <x v="9"/>
    <x v="1"/>
    <x v="11"/>
  </r>
  <r>
    <x v="18"/>
    <n v="1940"/>
    <n v="2650"/>
    <x v="18"/>
    <x v="0"/>
    <n v="-20"/>
    <x v="10"/>
    <x v="1"/>
    <x v="12"/>
  </r>
  <r>
    <x v="19"/>
    <n v="1875"/>
    <n v="1899"/>
    <x v="19"/>
    <x v="1"/>
    <n v="0"/>
    <x v="2"/>
    <x v="0"/>
    <x v="2"/>
  </r>
  <r>
    <x v="20"/>
    <n v="1860"/>
    <n v="3220"/>
    <x v="20"/>
    <x v="2"/>
    <n v="0"/>
    <x v="2"/>
    <x v="0"/>
    <x v="2"/>
  </r>
  <r>
    <x v="21"/>
    <n v="1820"/>
    <n v="3490"/>
    <x v="21"/>
    <x v="2"/>
    <n v="-9"/>
    <x v="8"/>
    <x v="0"/>
    <x v="13"/>
  </r>
  <r>
    <x v="22"/>
    <n v="1800"/>
    <n v="2700"/>
    <x v="22"/>
    <x v="0"/>
    <n v="-2"/>
    <x v="9"/>
    <x v="1"/>
    <x v="14"/>
  </r>
  <r>
    <x v="23"/>
    <n v="1768"/>
    <n v="1799"/>
    <x v="23"/>
    <x v="1"/>
    <n v="0"/>
    <x v="2"/>
    <x v="0"/>
    <x v="2"/>
  </r>
  <r>
    <x v="24"/>
    <n v="1758"/>
    <n v="2499"/>
    <x v="24"/>
    <x v="0"/>
    <n v="-20"/>
    <x v="11"/>
    <x v="0"/>
    <x v="12"/>
  </r>
  <r>
    <x v="25"/>
    <n v="1740"/>
    <n v="2356"/>
    <x v="25"/>
    <x v="0"/>
    <n v="-5"/>
    <x v="12"/>
    <x v="1"/>
    <x v="0"/>
  </r>
  <r>
    <x v="26"/>
    <n v="1732"/>
    <n v="1799"/>
    <x v="26"/>
    <x v="1"/>
    <n v="0"/>
    <x v="2"/>
    <x v="0"/>
    <x v="2"/>
  </r>
  <r>
    <x v="27"/>
    <n v="1680"/>
    <n v="2499"/>
    <x v="27"/>
    <x v="0"/>
    <n v="-9"/>
    <x v="13"/>
    <x v="0"/>
    <x v="13"/>
  </r>
  <r>
    <x v="28"/>
    <n v="1666"/>
    <n v="1699"/>
    <x v="28"/>
    <x v="1"/>
    <n v="0"/>
    <x v="2"/>
    <x v="0"/>
    <x v="2"/>
  </r>
  <r>
    <x v="29"/>
    <n v="1660"/>
    <n v="1699"/>
    <x v="29"/>
    <x v="1"/>
    <n v="0"/>
    <x v="2"/>
    <x v="0"/>
    <x v="2"/>
  </r>
  <r>
    <x v="30"/>
    <n v="1658"/>
    <n v="1699"/>
    <x v="30"/>
    <x v="1"/>
    <n v="0"/>
    <x v="2"/>
    <x v="0"/>
    <x v="2"/>
  </r>
  <r>
    <x v="31"/>
    <n v="1650"/>
    <n v="2150"/>
    <x v="31"/>
    <x v="0"/>
    <n v="-14"/>
    <x v="14"/>
    <x v="0"/>
    <x v="15"/>
  </r>
  <r>
    <x v="32"/>
    <n v="1620"/>
    <n v="2690"/>
    <x v="32"/>
    <x v="0"/>
    <n v="-1"/>
    <x v="1"/>
    <x v="1"/>
    <x v="1"/>
  </r>
  <r>
    <x v="33"/>
    <n v="1600"/>
    <n v="2929"/>
    <x v="33"/>
    <x v="2"/>
    <n v="-5"/>
    <x v="5"/>
    <x v="0"/>
    <x v="0"/>
  </r>
  <r>
    <x v="34"/>
    <n v="1580"/>
    <n v="2499"/>
    <x v="34"/>
    <x v="0"/>
    <n v="-7"/>
    <x v="10"/>
    <x v="1"/>
    <x v="9"/>
  </r>
  <r>
    <x v="35"/>
    <n v="1570"/>
    <n v="2988"/>
    <x v="35"/>
    <x v="2"/>
    <n v="-7"/>
    <x v="7"/>
    <x v="2"/>
    <x v="9"/>
  </r>
  <r>
    <x v="36"/>
    <n v="1526"/>
    <n v="1660"/>
    <x v="36"/>
    <x v="1"/>
    <n v="0"/>
    <x v="2"/>
    <x v="0"/>
    <x v="2"/>
  </r>
  <r>
    <x v="37"/>
    <n v="1468"/>
    <n v="1699"/>
    <x v="37"/>
    <x v="1"/>
    <n v="0"/>
    <x v="2"/>
    <x v="0"/>
    <x v="2"/>
  </r>
  <r>
    <x v="38"/>
    <n v="1466"/>
    <n v="1699"/>
    <x v="38"/>
    <x v="1"/>
    <n v="0"/>
    <x v="2"/>
    <x v="0"/>
    <x v="2"/>
  </r>
  <r>
    <x v="39"/>
    <n v="1462"/>
    <n v="1499"/>
    <x v="39"/>
    <x v="1"/>
    <n v="0"/>
    <x v="2"/>
    <x v="0"/>
    <x v="2"/>
  </r>
  <r>
    <x v="40"/>
    <n v="1460"/>
    <n v="2290"/>
    <x v="40"/>
    <x v="0"/>
    <n v="0"/>
    <x v="2"/>
    <x v="0"/>
    <x v="2"/>
  </r>
  <r>
    <x v="41"/>
    <n v="1459"/>
    <n v="1499"/>
    <x v="41"/>
    <x v="1"/>
    <n v="0"/>
    <x v="2"/>
    <x v="0"/>
    <x v="2"/>
  </r>
  <r>
    <x v="42"/>
    <n v="1420"/>
    <n v="2420"/>
    <x v="42"/>
    <x v="2"/>
    <n v="0"/>
    <x v="2"/>
    <x v="0"/>
    <x v="2"/>
  </r>
  <r>
    <x v="43"/>
    <n v="1350"/>
    <n v="1990"/>
    <x v="43"/>
    <x v="0"/>
    <n v="-13"/>
    <x v="5"/>
    <x v="0"/>
    <x v="8"/>
  </r>
  <r>
    <x v="44"/>
    <n v="1300"/>
    <n v="2500"/>
    <x v="44"/>
    <x v="2"/>
    <n v="0"/>
    <x v="2"/>
    <x v="0"/>
    <x v="2"/>
  </r>
  <r>
    <x v="45"/>
    <n v="1274"/>
    <n v="2800"/>
    <x v="45"/>
    <x v="2"/>
    <n v="-5"/>
    <x v="12"/>
    <x v="1"/>
    <x v="0"/>
  </r>
  <r>
    <x v="46"/>
    <n v="1220"/>
    <n v="1555"/>
    <x v="46"/>
    <x v="0"/>
    <n v="-16"/>
    <x v="15"/>
    <x v="2"/>
    <x v="16"/>
  </r>
  <r>
    <x v="47"/>
    <n v="1200"/>
    <n v="2400"/>
    <x v="47"/>
    <x v="2"/>
    <n v="0"/>
    <x v="2"/>
    <x v="0"/>
    <x v="2"/>
  </r>
  <r>
    <x v="48"/>
    <n v="1200"/>
    <n v="1950"/>
    <x v="48"/>
    <x v="0"/>
    <n v="0"/>
    <x v="2"/>
    <x v="0"/>
    <x v="2"/>
  </r>
  <r>
    <x v="49"/>
    <n v="1190"/>
    <n v="1785"/>
    <x v="22"/>
    <x v="0"/>
    <n v="0"/>
    <x v="2"/>
    <x v="0"/>
    <x v="2"/>
  </r>
  <r>
    <x v="50"/>
    <n v="1190"/>
    <n v="1810"/>
    <x v="49"/>
    <x v="0"/>
    <n v="0"/>
    <x v="2"/>
    <x v="0"/>
    <x v="2"/>
  </r>
  <r>
    <x v="51"/>
    <n v="1189"/>
    <n v="2199"/>
    <x v="50"/>
    <x v="2"/>
    <n v="-1"/>
    <x v="0"/>
    <x v="0"/>
    <x v="1"/>
  </r>
  <r>
    <x v="52"/>
    <n v="1150"/>
    <n v="1737"/>
    <x v="51"/>
    <x v="0"/>
    <n v="0"/>
    <x v="2"/>
    <x v="0"/>
    <x v="2"/>
  </r>
  <r>
    <x v="53"/>
    <n v="1080"/>
    <n v="1874"/>
    <x v="52"/>
    <x v="2"/>
    <n v="0"/>
    <x v="2"/>
    <x v="0"/>
    <x v="2"/>
  </r>
  <r>
    <x v="54"/>
    <n v="1000"/>
    <n v="2000"/>
    <x v="47"/>
    <x v="2"/>
    <n v="-7"/>
    <x v="16"/>
    <x v="2"/>
    <x v="9"/>
  </r>
  <r>
    <x v="55"/>
    <n v="999"/>
    <n v="2000"/>
    <x v="53"/>
    <x v="2"/>
    <n v="0"/>
    <x v="2"/>
    <x v="0"/>
    <x v="2"/>
  </r>
  <r>
    <x v="56"/>
    <n v="998"/>
    <n v="1966"/>
    <x v="54"/>
    <x v="2"/>
    <n v="-44"/>
    <x v="4"/>
    <x v="1"/>
    <x v="17"/>
  </r>
  <r>
    <x v="57"/>
    <n v="990"/>
    <n v="1500"/>
    <x v="55"/>
    <x v="0"/>
    <n v="-39"/>
    <x v="10"/>
    <x v="1"/>
    <x v="18"/>
  </r>
  <r>
    <x v="58"/>
    <n v="990"/>
    <n v="1814"/>
    <x v="56"/>
    <x v="2"/>
    <n v="-6"/>
    <x v="17"/>
    <x v="2"/>
    <x v="7"/>
  </r>
  <r>
    <x v="59"/>
    <n v="988"/>
    <n v="1580"/>
    <x v="57"/>
    <x v="0"/>
    <n v="-2"/>
    <x v="3"/>
    <x v="0"/>
    <x v="14"/>
  </r>
  <r>
    <x v="60"/>
    <n v="980"/>
    <n v="1490"/>
    <x v="58"/>
    <x v="0"/>
    <n v="-12"/>
    <x v="10"/>
    <x v="1"/>
    <x v="4"/>
  </r>
  <r>
    <x v="61"/>
    <n v="979"/>
    <n v="1920"/>
    <x v="59"/>
    <x v="2"/>
    <n v="-1"/>
    <x v="1"/>
    <x v="1"/>
    <x v="1"/>
  </r>
  <r>
    <x v="62"/>
    <n v="968"/>
    <n v="1814"/>
    <x v="60"/>
    <x v="2"/>
    <n v="-6"/>
    <x v="17"/>
    <x v="2"/>
    <x v="7"/>
  </r>
  <r>
    <x v="63"/>
    <n v="950"/>
    <n v="1525"/>
    <x v="61"/>
    <x v="0"/>
    <n v="-2"/>
    <x v="9"/>
    <x v="1"/>
    <x v="14"/>
  </r>
  <r>
    <x v="64"/>
    <n v="899"/>
    <n v="1699"/>
    <x v="62"/>
    <x v="2"/>
    <n v="0"/>
    <x v="2"/>
    <x v="0"/>
    <x v="2"/>
  </r>
  <r>
    <x v="65"/>
    <n v="880"/>
    <n v="1350"/>
    <x v="63"/>
    <x v="0"/>
    <n v="-6"/>
    <x v="3"/>
    <x v="0"/>
    <x v="7"/>
  </r>
  <r>
    <x v="66"/>
    <n v="850"/>
    <n v="1700"/>
    <x v="47"/>
    <x v="2"/>
    <n v="0"/>
    <x v="2"/>
    <x v="0"/>
    <x v="2"/>
  </r>
  <r>
    <x v="67"/>
    <n v="799"/>
    <n v="1567"/>
    <x v="64"/>
    <x v="2"/>
    <n v="0"/>
    <x v="2"/>
    <x v="0"/>
    <x v="2"/>
  </r>
  <r>
    <x v="68"/>
    <n v="799"/>
    <n v="1343"/>
    <x v="65"/>
    <x v="2"/>
    <n v="0"/>
    <x v="2"/>
    <x v="0"/>
    <x v="2"/>
  </r>
  <r>
    <x v="69"/>
    <n v="799"/>
    <n v="999"/>
    <x v="66"/>
    <x v="0"/>
    <n v="-12"/>
    <x v="11"/>
    <x v="0"/>
    <x v="4"/>
  </r>
  <r>
    <x v="70"/>
    <n v="799"/>
    <n v="900"/>
    <x v="67"/>
    <x v="1"/>
    <n v="0"/>
    <x v="2"/>
    <x v="0"/>
    <x v="2"/>
  </r>
  <r>
    <x v="71"/>
    <n v="790"/>
    <n v="1485"/>
    <x v="68"/>
    <x v="2"/>
    <n v="0"/>
    <x v="2"/>
    <x v="0"/>
    <x v="2"/>
  </r>
  <r>
    <x v="72"/>
    <n v="699"/>
    <n v="1343"/>
    <x v="69"/>
    <x v="2"/>
    <n v="0"/>
    <x v="2"/>
    <x v="0"/>
    <x v="2"/>
  </r>
  <r>
    <x v="73"/>
    <n v="690"/>
    <n v="1200"/>
    <x v="70"/>
    <x v="2"/>
    <n v="0"/>
    <x v="2"/>
    <x v="0"/>
    <x v="2"/>
  </r>
  <r>
    <x v="74"/>
    <n v="671"/>
    <n v="1316"/>
    <x v="71"/>
    <x v="2"/>
    <n v="0"/>
    <x v="2"/>
    <x v="0"/>
    <x v="2"/>
  </r>
  <r>
    <x v="67"/>
    <n v="657"/>
    <n v="1288"/>
    <x v="72"/>
    <x v="2"/>
    <n v="0"/>
    <x v="2"/>
    <x v="0"/>
    <x v="2"/>
  </r>
  <r>
    <x v="75"/>
    <n v="630"/>
    <n v="1100"/>
    <x v="73"/>
    <x v="2"/>
    <n v="0"/>
    <x v="2"/>
    <x v="0"/>
    <x v="2"/>
  </r>
  <r>
    <x v="76"/>
    <n v="610"/>
    <n v="1060"/>
    <x v="74"/>
    <x v="2"/>
    <n v="0"/>
    <x v="2"/>
    <x v="0"/>
    <x v="2"/>
  </r>
  <r>
    <x v="77"/>
    <n v="552"/>
    <n v="1035"/>
    <x v="75"/>
    <x v="2"/>
    <n v="-12"/>
    <x v="12"/>
    <x v="1"/>
    <x v="4"/>
  </r>
  <r>
    <x v="78"/>
    <n v="527"/>
    <n v="999"/>
    <x v="76"/>
    <x v="2"/>
    <n v="-14"/>
    <x v="11"/>
    <x v="0"/>
    <x v="15"/>
  </r>
  <r>
    <x v="79"/>
    <n v="525"/>
    <n v="1029"/>
    <x v="77"/>
    <x v="2"/>
    <n v="0"/>
    <x v="2"/>
    <x v="0"/>
    <x v="2"/>
  </r>
  <r>
    <x v="80"/>
    <n v="509"/>
    <n v="899"/>
    <x v="78"/>
    <x v="2"/>
    <n v="-5"/>
    <x v="0"/>
    <x v="0"/>
    <x v="0"/>
  </r>
  <r>
    <x v="81"/>
    <n v="501"/>
    <n v="860"/>
    <x v="79"/>
    <x v="2"/>
    <n v="-6"/>
    <x v="9"/>
    <x v="1"/>
    <x v="7"/>
  </r>
  <r>
    <x v="82"/>
    <n v="499"/>
    <n v="900"/>
    <x v="80"/>
    <x v="2"/>
    <n v="0"/>
    <x v="2"/>
    <x v="0"/>
    <x v="2"/>
  </r>
  <r>
    <x v="83"/>
    <n v="475"/>
    <n v="931"/>
    <x v="77"/>
    <x v="2"/>
    <n v="0"/>
    <x v="2"/>
    <x v="0"/>
    <x v="2"/>
  </r>
  <r>
    <x v="84"/>
    <n v="458"/>
    <n v="986"/>
    <x v="81"/>
    <x v="2"/>
    <n v="-10"/>
    <x v="0"/>
    <x v="0"/>
    <x v="19"/>
  </r>
  <r>
    <x v="85"/>
    <n v="450"/>
    <n v="900"/>
    <x v="47"/>
    <x v="2"/>
    <n v="-1"/>
    <x v="18"/>
    <x v="2"/>
    <x v="1"/>
  </r>
  <r>
    <x v="86"/>
    <n v="445"/>
    <n v="873"/>
    <x v="82"/>
    <x v="2"/>
    <n v="-69"/>
    <x v="19"/>
    <x v="2"/>
    <x v="20"/>
  </r>
  <r>
    <x v="87"/>
    <n v="420"/>
    <n v="647"/>
    <x v="83"/>
    <x v="0"/>
    <n v="-49"/>
    <x v="4"/>
    <x v="1"/>
    <x v="21"/>
  </r>
  <r>
    <x v="82"/>
    <n v="399"/>
    <n v="896"/>
    <x v="84"/>
    <x v="2"/>
    <n v="0"/>
    <x v="2"/>
    <x v="0"/>
    <x v="2"/>
  </r>
  <r>
    <x v="88"/>
    <n v="389"/>
    <n v="656"/>
    <x v="85"/>
    <x v="2"/>
    <n v="-36"/>
    <x v="8"/>
    <x v="0"/>
    <x v="22"/>
  </r>
  <r>
    <x v="89"/>
    <n v="382"/>
    <n v="700"/>
    <x v="86"/>
    <x v="2"/>
    <n v="-17"/>
    <x v="20"/>
    <x v="2"/>
    <x v="23"/>
  </r>
  <r>
    <x v="90"/>
    <n v="345"/>
    <n v="602"/>
    <x v="87"/>
    <x v="2"/>
    <n v="-6"/>
    <x v="16"/>
    <x v="2"/>
    <x v="7"/>
  </r>
  <r>
    <x v="91"/>
    <n v="332"/>
    <n v="684"/>
    <x v="88"/>
    <x v="2"/>
    <n v="-2"/>
    <x v="1"/>
    <x v="1"/>
    <x v="14"/>
  </r>
  <r>
    <x v="92"/>
    <n v="330"/>
    <n v="647"/>
    <x v="89"/>
    <x v="2"/>
    <n v="-1"/>
    <x v="3"/>
    <x v="0"/>
    <x v="1"/>
  </r>
  <r>
    <x v="93"/>
    <n v="325"/>
    <n v="680"/>
    <x v="90"/>
    <x v="2"/>
    <n v="-15"/>
    <x v="21"/>
    <x v="2"/>
    <x v="3"/>
  </r>
  <r>
    <x v="94"/>
    <n v="299"/>
    <n v="600"/>
    <x v="91"/>
    <x v="2"/>
    <n v="0"/>
    <x v="2"/>
    <x v="0"/>
    <x v="2"/>
  </r>
  <r>
    <x v="95"/>
    <n v="299"/>
    <n v="384"/>
    <x v="92"/>
    <x v="0"/>
    <n v="0"/>
    <x v="2"/>
    <x v="0"/>
    <x v="2"/>
  </r>
  <r>
    <x v="96"/>
    <n v="274"/>
    <n v="537"/>
    <x v="93"/>
    <x v="2"/>
    <n v="0"/>
    <x v="2"/>
    <x v="0"/>
    <x v="2"/>
  </r>
  <r>
    <x v="97"/>
    <n v="248"/>
    <n v="486"/>
    <x v="94"/>
    <x v="2"/>
    <n v="0"/>
    <x v="2"/>
    <x v="0"/>
    <x v="2"/>
  </r>
  <r>
    <x v="98"/>
    <n v="238"/>
    <n v="476"/>
    <x v="47"/>
    <x v="2"/>
    <n v="0"/>
    <x v="2"/>
    <x v="0"/>
    <x v="2"/>
  </r>
  <r>
    <x v="99"/>
    <n v="230"/>
    <n v="450"/>
    <x v="95"/>
    <x v="2"/>
    <n v="0"/>
    <x v="2"/>
    <x v="0"/>
    <x v="2"/>
  </r>
  <r>
    <x v="100"/>
    <n v="199"/>
    <n v="553"/>
    <x v="96"/>
    <x v="2"/>
    <n v="0"/>
    <x v="2"/>
    <x v="0"/>
    <x v="2"/>
  </r>
  <r>
    <x v="101"/>
    <n v="199"/>
    <n v="504"/>
    <x v="97"/>
    <x v="2"/>
    <n v="0"/>
    <x v="2"/>
    <x v="0"/>
    <x v="2"/>
  </r>
  <r>
    <x v="102"/>
    <n v="198"/>
    <n v="260"/>
    <x v="98"/>
    <x v="0"/>
    <n v="0"/>
    <x v="2"/>
    <x v="0"/>
    <x v="2"/>
  </r>
  <r>
    <x v="103"/>
    <n v="195"/>
    <n v="360"/>
    <x v="99"/>
    <x v="2"/>
    <n v="-2"/>
    <x v="1"/>
    <x v="1"/>
    <x v="14"/>
  </r>
  <r>
    <x v="104"/>
    <n v="185"/>
    <n v="382"/>
    <x v="100"/>
    <x v="2"/>
    <n v="-9"/>
    <x v="8"/>
    <x v="0"/>
    <x v="13"/>
  </r>
  <r>
    <x v="101"/>
    <n v="176"/>
    <n v="345"/>
    <x v="101"/>
    <x v="2"/>
    <n v="0"/>
    <x v="2"/>
    <x v="0"/>
    <x v="2"/>
  </r>
  <r>
    <x v="105"/>
    <n v="171"/>
    <n v="360"/>
    <x v="102"/>
    <x v="2"/>
    <n v="-2"/>
    <x v="1"/>
    <x v="1"/>
    <x v="14"/>
  </r>
  <r>
    <x v="106"/>
    <n v="169"/>
    <n v="320"/>
    <x v="103"/>
    <x v="2"/>
    <n v="0"/>
    <x v="2"/>
    <x v="0"/>
    <x v="2"/>
  </r>
  <r>
    <x v="107"/>
    <n v="105"/>
    <n v="200"/>
    <x v="104"/>
    <x v="2"/>
    <n v="0"/>
    <x v="2"/>
    <x v="0"/>
    <x v="2"/>
  </r>
  <r>
    <x v="108"/>
    <n v="38"/>
    <n v="80"/>
    <x v="102"/>
    <x v="2"/>
    <n v="-13"/>
    <x v="22"/>
    <x v="0"/>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n v="3750"/>
    <n v="6143"/>
    <n v="0.38954908025394758"/>
    <s v="Medium"/>
    <n v="-5"/>
    <n v="3"/>
    <s v="Medium"/>
    <n v="5"/>
  </r>
  <r>
    <x v="1"/>
    <n v="3640"/>
    <n v="4588"/>
    <n v="0.20662598081952921"/>
    <s v="Medium"/>
    <n v="-1"/>
    <n v="5"/>
    <s v="Excellent"/>
    <n v="1"/>
  </r>
  <r>
    <x v="2"/>
    <n v="3546"/>
    <n v="3699"/>
    <n v="4.1362530413625302E-2"/>
    <s v="Low"/>
    <n v="0"/>
    <n v="3.9"/>
    <s v="Medium"/>
    <n v="0"/>
  </r>
  <r>
    <x v="3"/>
    <n v="2999"/>
    <n v="3290"/>
    <n v="8.8449848024316116E-2"/>
    <s v="Low"/>
    <n v="-15"/>
    <n v="4"/>
    <s v="Medium"/>
    <n v="15"/>
  </r>
  <r>
    <x v="4"/>
    <n v="2999"/>
    <n v="3699"/>
    <n v="0.18924033522573669"/>
    <s v="Low"/>
    <n v="-5"/>
    <n v="4.5999999999999996"/>
    <s v="Excellent"/>
    <n v="5"/>
  </r>
  <r>
    <x v="5"/>
    <n v="2880"/>
    <n v="3520"/>
    <n v="0.18181818181818182"/>
    <s v="Low"/>
    <n v="-12"/>
    <n v="3.8"/>
    <s v="Medium"/>
    <n v="12"/>
  </r>
  <r>
    <x v="6"/>
    <n v="2799"/>
    <n v="3810"/>
    <n v="0.26535433070866143"/>
    <s v="Medium"/>
    <n v="0"/>
    <n v="3.9"/>
    <s v="Medium"/>
    <n v="0"/>
  </r>
  <r>
    <x v="7"/>
    <n v="2750"/>
    <n v="4471"/>
    <n v="0.38492507269067322"/>
    <s v="Medium"/>
    <n v="0"/>
    <n v="3.9"/>
    <s v="Medium"/>
    <n v="0"/>
  </r>
  <r>
    <x v="8"/>
    <n v="2319"/>
    <n v="3032"/>
    <n v="0.23515831134564644"/>
    <s v="Medium"/>
    <n v="-55"/>
    <n v="4.5999999999999996"/>
    <s v="Excellent"/>
    <n v="55"/>
  </r>
  <r>
    <x v="9"/>
    <n v="2300"/>
    <n v="3240"/>
    <n v="0.29012345679012347"/>
    <s v="Medium"/>
    <n v="-5"/>
    <n v="3"/>
    <s v="Medium"/>
    <n v="5"/>
  </r>
  <r>
    <x v="10"/>
    <n v="2200"/>
    <n v="4080"/>
    <n v="0.46078431372549017"/>
    <s v="High"/>
    <n v="0"/>
    <n v="3.9"/>
    <s v="Medium"/>
    <n v="0"/>
  </r>
  <r>
    <x v="11"/>
    <n v="2199"/>
    <n v="2923"/>
    <n v="0.24769072870338693"/>
    <s v="Medium"/>
    <n v="-24"/>
    <n v="4.5999999999999996"/>
    <s v="Excellent"/>
    <n v="24"/>
  </r>
  <r>
    <x v="12"/>
    <n v="2170"/>
    <n v="2500"/>
    <n v="0.13200000000000001"/>
    <s v="Low"/>
    <n v="-6"/>
    <n v="2.5"/>
    <s v="Poor"/>
    <n v="6"/>
  </r>
  <r>
    <x v="13"/>
    <n v="2132"/>
    <n v="2169"/>
    <n v="1.705855232826187E-2"/>
    <s v="Low"/>
    <n v="0"/>
    <n v="3.9"/>
    <s v="Medium"/>
    <n v="0"/>
  </r>
  <r>
    <x v="14"/>
    <n v="2115"/>
    <n v="4700"/>
    <n v="0.55000000000000004"/>
    <s v="High"/>
    <n v="-13"/>
    <n v="2.1"/>
    <s v="Poor"/>
    <n v="13"/>
  </r>
  <r>
    <x v="15"/>
    <n v="2048"/>
    <n v="4500"/>
    <n v="0.54488888888888887"/>
    <s v="High"/>
    <n v="-7"/>
    <n v="4.3"/>
    <s v="Medium"/>
    <n v="7"/>
  </r>
  <r>
    <x v="16"/>
    <n v="2025"/>
    <n v="3971"/>
    <n v="0.49005288340468395"/>
    <s v="High"/>
    <n v="-3"/>
    <n v="5"/>
    <s v="Excellent"/>
    <n v="3"/>
  </r>
  <r>
    <x v="17"/>
    <n v="1980"/>
    <n v="2699"/>
    <n v="0.26639496109670247"/>
    <s v="Medium"/>
    <n v="-32"/>
    <n v="4.5"/>
    <s v="Excellent"/>
    <n v="32"/>
  </r>
  <r>
    <x v="18"/>
    <n v="1940"/>
    <n v="2650"/>
    <n v="0.26792452830188679"/>
    <s v="Medium"/>
    <n v="-20"/>
    <n v="4.7"/>
    <s v="Excellent"/>
    <n v="20"/>
  </r>
  <r>
    <x v="19"/>
    <n v="1875"/>
    <n v="1899"/>
    <n v="1.2638230647709321E-2"/>
    <s v="Low"/>
    <n v="0"/>
    <n v="3.9"/>
    <s v="Medium"/>
    <n v="0"/>
  </r>
  <r>
    <x v="20"/>
    <n v="1860"/>
    <n v="3220"/>
    <n v="0.42236024844720499"/>
    <s v="High"/>
    <n v="0"/>
    <n v="3.9"/>
    <s v="Medium"/>
    <n v="0"/>
  </r>
  <r>
    <x v="21"/>
    <n v="1820"/>
    <n v="3490"/>
    <n v="0.47851002865329512"/>
    <s v="High"/>
    <n v="-9"/>
    <n v="4.3"/>
    <s v="Medium"/>
    <n v="9"/>
  </r>
  <r>
    <x v="22"/>
    <n v="1800"/>
    <n v="2700"/>
    <n v="0.33333333333333331"/>
    <s v="Medium"/>
    <n v="-2"/>
    <n v="4.5"/>
    <s v="Excellent"/>
    <n v="2"/>
  </r>
  <r>
    <x v="23"/>
    <n v="1768"/>
    <n v="1799"/>
    <n v="1.7231795441912175E-2"/>
    <s v="Low"/>
    <n v="0"/>
    <n v="3.9"/>
    <s v="Medium"/>
    <n v="0"/>
  </r>
  <r>
    <x v="24"/>
    <n v="1758"/>
    <n v="2499"/>
    <n v="0.2965186074429772"/>
    <s v="Medium"/>
    <n v="-20"/>
    <n v="4.0999999999999996"/>
    <s v="Medium"/>
    <n v="20"/>
  </r>
  <r>
    <x v="25"/>
    <n v="1740"/>
    <n v="2356"/>
    <n v="0.26146010186757218"/>
    <s v="Medium"/>
    <n v="-5"/>
    <n v="4.8"/>
    <s v="Excellent"/>
    <n v="5"/>
  </r>
  <r>
    <x v="26"/>
    <n v="1732"/>
    <n v="1799"/>
    <n v="3.7242912729294052E-2"/>
    <s v="Low"/>
    <n v="0"/>
    <n v="3.9"/>
    <s v="Medium"/>
    <n v="0"/>
  </r>
  <r>
    <x v="27"/>
    <n v="1680"/>
    <n v="2499"/>
    <n v="0.32773109243697479"/>
    <s v="Medium"/>
    <n v="-9"/>
    <n v="4.2"/>
    <s v="Medium"/>
    <n v="9"/>
  </r>
  <r>
    <x v="28"/>
    <n v="1666"/>
    <n v="1699"/>
    <n v="1.9423190111830489E-2"/>
    <s v="Low"/>
    <n v="0"/>
    <n v="3.9"/>
    <s v="Medium"/>
    <n v="0"/>
  </r>
  <r>
    <x v="29"/>
    <n v="1660"/>
    <n v="1699"/>
    <n v="2.2954679223072396E-2"/>
    <s v="Low"/>
    <n v="0"/>
    <n v="3.9"/>
    <s v="Medium"/>
    <n v="0"/>
  </r>
  <r>
    <x v="30"/>
    <n v="1658"/>
    <n v="1699"/>
    <n v="2.4131842260153032E-2"/>
    <s v="Low"/>
    <n v="0"/>
    <n v="3.9"/>
    <s v="Medium"/>
    <n v="0"/>
  </r>
  <r>
    <x v="31"/>
    <n v="1650"/>
    <n v="2150"/>
    <n v="0.23255813953488372"/>
    <s v="Medium"/>
    <n v="-14"/>
    <n v="4.4000000000000004"/>
    <s v="Medium"/>
    <n v="14"/>
  </r>
  <r>
    <x v="32"/>
    <n v="1620"/>
    <n v="2690"/>
    <n v="0.39776951672862454"/>
    <s v="Medium"/>
    <n v="-1"/>
    <n v="5"/>
    <s v="Excellent"/>
    <n v="1"/>
  </r>
  <r>
    <x v="33"/>
    <n v="1600"/>
    <n v="2929"/>
    <n v="0.45373847729600547"/>
    <s v="High"/>
    <n v="-5"/>
    <n v="3.8"/>
    <s v="Medium"/>
    <n v="5"/>
  </r>
  <r>
    <x v="34"/>
    <n v="1580"/>
    <n v="2499"/>
    <n v="0.36774709883953582"/>
    <s v="Medium"/>
    <n v="-7"/>
    <n v="4.7"/>
    <s v="Excellent"/>
    <n v="7"/>
  </r>
  <r>
    <x v="35"/>
    <n v="1570"/>
    <n v="2988"/>
    <n v="0.4745649263721553"/>
    <s v="High"/>
    <n v="-7"/>
    <n v="2.1"/>
    <s v="Poor"/>
    <n v="7"/>
  </r>
  <r>
    <x v="36"/>
    <n v="1526"/>
    <n v="1660"/>
    <n v="8.0722891566265054E-2"/>
    <s v="Low"/>
    <n v="0"/>
    <n v="3.9"/>
    <s v="Medium"/>
    <n v="0"/>
  </r>
  <r>
    <x v="37"/>
    <n v="1468"/>
    <n v="1699"/>
    <n v="0.13596233078281342"/>
    <s v="Low"/>
    <n v="0"/>
    <n v="3.9"/>
    <s v="Medium"/>
    <n v="0"/>
  </r>
  <r>
    <x v="38"/>
    <n v="1466"/>
    <n v="1699"/>
    <n v="0.13713949381989404"/>
    <s v="Low"/>
    <n v="0"/>
    <n v="3.9"/>
    <s v="Medium"/>
    <n v="0"/>
  </r>
  <r>
    <x v="39"/>
    <n v="1462"/>
    <n v="1499"/>
    <n v="2.4683122081387593E-2"/>
    <s v="Low"/>
    <n v="0"/>
    <n v="3.9"/>
    <s v="Medium"/>
    <n v="0"/>
  </r>
  <r>
    <x v="40"/>
    <n v="1460"/>
    <n v="2290"/>
    <n v="0.36244541484716158"/>
    <s v="Medium"/>
    <n v="0"/>
    <n v="3.9"/>
    <s v="Medium"/>
    <n v="0"/>
  </r>
  <r>
    <x v="41"/>
    <n v="1459"/>
    <n v="1499"/>
    <n v="2.6684456304202801E-2"/>
    <s v="Low"/>
    <n v="0"/>
    <n v="3.9"/>
    <s v="Medium"/>
    <n v="0"/>
  </r>
  <r>
    <x v="42"/>
    <n v="1420"/>
    <n v="2420"/>
    <n v="0.41322314049586778"/>
    <s v="High"/>
    <n v="0"/>
    <n v="3.9"/>
    <s v="Medium"/>
    <n v="0"/>
  </r>
  <r>
    <x v="43"/>
    <n v="1350"/>
    <n v="1990"/>
    <n v="0.32160804020100503"/>
    <s v="Medium"/>
    <n v="-13"/>
    <n v="3.8"/>
    <s v="Medium"/>
    <n v="13"/>
  </r>
  <r>
    <x v="44"/>
    <n v="1300"/>
    <n v="2500"/>
    <n v="0.48"/>
    <s v="High"/>
    <n v="0"/>
    <n v="3.9"/>
    <s v="Medium"/>
    <n v="0"/>
  </r>
  <r>
    <x v="45"/>
    <n v="1274"/>
    <n v="2800"/>
    <n v="0.54500000000000004"/>
    <s v="High"/>
    <n v="-5"/>
    <n v="4.8"/>
    <s v="Excellent"/>
    <n v="5"/>
  </r>
  <r>
    <x v="46"/>
    <n v="1220"/>
    <n v="1555"/>
    <n v="0.21543408360128619"/>
    <s v="Medium"/>
    <n v="-16"/>
    <n v="2.9"/>
    <s v="Poor"/>
    <n v="16"/>
  </r>
  <r>
    <x v="47"/>
    <n v="1200"/>
    <n v="2400"/>
    <n v="0.5"/>
    <s v="High"/>
    <n v="0"/>
    <n v="3.9"/>
    <s v="Medium"/>
    <n v="0"/>
  </r>
  <r>
    <x v="48"/>
    <n v="1200"/>
    <n v="1950"/>
    <n v="0.38461538461538464"/>
    <s v="Medium"/>
    <n v="0"/>
    <n v="3.9"/>
    <s v="Medium"/>
    <n v="0"/>
  </r>
  <r>
    <x v="49"/>
    <n v="1190"/>
    <n v="1785"/>
    <n v="0.33333333333333331"/>
    <s v="Medium"/>
    <n v="0"/>
    <n v="3.9"/>
    <s v="Medium"/>
    <n v="0"/>
  </r>
  <r>
    <x v="50"/>
    <n v="1190"/>
    <n v="1810"/>
    <n v="0.34254143646408841"/>
    <s v="Medium"/>
    <n v="0"/>
    <n v="3.9"/>
    <s v="Medium"/>
    <n v="0"/>
  </r>
  <r>
    <x v="51"/>
    <n v="1189"/>
    <n v="2199"/>
    <n v="0.45929968167348795"/>
    <s v="High"/>
    <n v="-1"/>
    <n v="3"/>
    <s v="Medium"/>
    <n v="1"/>
  </r>
  <r>
    <x v="52"/>
    <n v="1150"/>
    <n v="1737"/>
    <n v="0.3379389752446747"/>
    <s v="Medium"/>
    <n v="0"/>
    <n v="3.9"/>
    <s v="Medium"/>
    <n v="0"/>
  </r>
  <r>
    <x v="53"/>
    <n v="1080"/>
    <n v="1874"/>
    <n v="0.42369263607257202"/>
    <s v="High"/>
    <n v="0"/>
    <n v="3.9"/>
    <s v="Medium"/>
    <n v="0"/>
  </r>
  <r>
    <x v="54"/>
    <n v="1000"/>
    <n v="2000"/>
    <n v="0.5"/>
    <s v="High"/>
    <n v="-7"/>
    <n v="2.2999999999999998"/>
    <s v="Poor"/>
    <n v="7"/>
  </r>
  <r>
    <x v="55"/>
    <n v="999"/>
    <n v="2000"/>
    <n v="0.50049999999999994"/>
    <s v="High"/>
    <n v="0"/>
    <n v="3.9"/>
    <s v="Medium"/>
    <n v="0"/>
  </r>
  <r>
    <x v="56"/>
    <n v="998"/>
    <n v="1966"/>
    <n v="0.49237029501525942"/>
    <s v="High"/>
    <n v="-44"/>
    <n v="4.5999999999999996"/>
    <s v="Excellent"/>
    <n v="44"/>
  </r>
  <r>
    <x v="57"/>
    <n v="990"/>
    <n v="1500"/>
    <n v="0.34"/>
    <s v="Medium"/>
    <n v="-39"/>
    <n v="4.7"/>
    <s v="Excellent"/>
    <n v="39"/>
  </r>
  <r>
    <x v="58"/>
    <n v="990"/>
    <n v="1814"/>
    <n v="0.45424476295479604"/>
    <s v="High"/>
    <n v="-6"/>
    <n v="2.2000000000000002"/>
    <s v="Poor"/>
    <n v="6"/>
  </r>
  <r>
    <x v="59"/>
    <n v="988"/>
    <n v="1580"/>
    <n v="0.37468354430379747"/>
    <s v="Medium"/>
    <n v="-2"/>
    <n v="4"/>
    <s v="Medium"/>
    <n v="2"/>
  </r>
  <r>
    <x v="60"/>
    <n v="980"/>
    <n v="1490"/>
    <n v="0.34228187919463088"/>
    <s v="Medium"/>
    <n v="-12"/>
    <n v="4.7"/>
    <s v="Excellent"/>
    <n v="12"/>
  </r>
  <r>
    <x v="61"/>
    <n v="979"/>
    <n v="1920"/>
    <n v="0.49010416666666667"/>
    <s v="High"/>
    <n v="-1"/>
    <n v="5"/>
    <s v="Excellent"/>
    <n v="1"/>
  </r>
  <r>
    <x v="62"/>
    <n v="968"/>
    <n v="1814"/>
    <n v="0.46637265711135611"/>
    <s v="High"/>
    <n v="-6"/>
    <n v="2.2000000000000002"/>
    <s v="Poor"/>
    <n v="6"/>
  </r>
  <r>
    <x v="63"/>
    <n v="950"/>
    <n v="1525"/>
    <n v="0.37704918032786883"/>
    <s v="Medium"/>
    <n v="-2"/>
    <n v="4.5"/>
    <s v="Excellent"/>
    <n v="2"/>
  </r>
  <r>
    <x v="64"/>
    <n v="899"/>
    <n v="1699"/>
    <n v="0.47086521483225424"/>
    <s v="High"/>
    <n v="0"/>
    <n v="3.9"/>
    <s v="Medium"/>
    <n v="0"/>
  </r>
  <r>
    <x v="65"/>
    <n v="880"/>
    <n v="1350"/>
    <n v="0.34814814814814815"/>
    <s v="Medium"/>
    <n v="-6"/>
    <n v="4"/>
    <s v="Medium"/>
    <n v="6"/>
  </r>
  <r>
    <x v="66"/>
    <n v="850"/>
    <n v="1700"/>
    <n v="0.5"/>
    <s v="High"/>
    <n v="0"/>
    <n v="3.9"/>
    <s v="Medium"/>
    <n v="0"/>
  </r>
  <r>
    <x v="67"/>
    <n v="799"/>
    <n v="1567"/>
    <n v="0.49010848755583919"/>
    <s v="High"/>
    <n v="0"/>
    <n v="3.9"/>
    <s v="Medium"/>
    <n v="0"/>
  </r>
  <r>
    <x v="68"/>
    <n v="799"/>
    <n v="1343"/>
    <n v="0.4050632911392405"/>
    <s v="High"/>
    <n v="0"/>
    <n v="3.9"/>
    <s v="Medium"/>
    <n v="0"/>
  </r>
  <r>
    <x v="69"/>
    <n v="799"/>
    <n v="999"/>
    <n v="0.20020020020020021"/>
    <s v="Medium"/>
    <n v="-12"/>
    <n v="4.0999999999999996"/>
    <s v="Medium"/>
    <n v="12"/>
  </r>
  <r>
    <x v="70"/>
    <n v="799"/>
    <n v="900"/>
    <n v="0.11222222222222222"/>
    <s v="Low"/>
    <n v="0"/>
    <n v="3.9"/>
    <s v="Medium"/>
    <n v="0"/>
  </r>
  <r>
    <x v="71"/>
    <n v="790"/>
    <n v="1485"/>
    <n v="0.46801346801346799"/>
    <s v="High"/>
    <n v="0"/>
    <n v="3.9"/>
    <s v="Medium"/>
    <n v="0"/>
  </r>
  <r>
    <x v="72"/>
    <n v="699"/>
    <n v="1343"/>
    <n v="0.47952345495160087"/>
    <s v="High"/>
    <n v="0"/>
    <n v="3.9"/>
    <s v="Medium"/>
    <n v="0"/>
  </r>
  <r>
    <x v="73"/>
    <n v="690"/>
    <n v="1200"/>
    <n v="0.42499999999999999"/>
    <s v="High"/>
    <n v="0"/>
    <n v="3.9"/>
    <s v="Medium"/>
    <n v="0"/>
  </r>
  <r>
    <x v="74"/>
    <n v="671"/>
    <n v="1316"/>
    <n v="0.49012158054711247"/>
    <s v="High"/>
    <n v="0"/>
    <n v="3.9"/>
    <s v="Medium"/>
    <n v="0"/>
  </r>
  <r>
    <x v="67"/>
    <n v="657"/>
    <n v="1288"/>
    <n v="0.48990683229813664"/>
    <s v="High"/>
    <n v="0"/>
    <n v="3.9"/>
    <s v="Medium"/>
    <n v="0"/>
  </r>
  <r>
    <x v="75"/>
    <n v="630"/>
    <n v="1100"/>
    <n v="0.42727272727272725"/>
    <s v="High"/>
    <n v="0"/>
    <n v="3.9"/>
    <s v="Medium"/>
    <n v="0"/>
  </r>
  <r>
    <x v="76"/>
    <n v="610"/>
    <n v="1060"/>
    <n v="0.42452830188679247"/>
    <s v="High"/>
    <n v="0"/>
    <n v="3.9"/>
    <s v="Medium"/>
    <n v="0"/>
  </r>
  <r>
    <x v="77"/>
    <n v="552"/>
    <n v="1035"/>
    <n v="0.46666666666666667"/>
    <s v="High"/>
    <n v="-12"/>
    <n v="4.8"/>
    <s v="Excellent"/>
    <n v="12"/>
  </r>
  <r>
    <x v="78"/>
    <n v="527"/>
    <n v="999"/>
    <n v="0.47247247247247248"/>
    <s v="High"/>
    <n v="-14"/>
    <n v="4.0999999999999996"/>
    <s v="Medium"/>
    <n v="14"/>
  </r>
  <r>
    <x v="79"/>
    <n v="525"/>
    <n v="1029"/>
    <n v="0.48979591836734693"/>
    <s v="High"/>
    <n v="0"/>
    <n v="3.9"/>
    <s v="Medium"/>
    <n v="0"/>
  </r>
  <r>
    <x v="80"/>
    <n v="509"/>
    <n v="899"/>
    <n v="0.43381535038932145"/>
    <s v="High"/>
    <n v="-5"/>
    <n v="3"/>
    <s v="Medium"/>
    <n v="5"/>
  </r>
  <r>
    <x v="81"/>
    <n v="501"/>
    <n v="860"/>
    <n v="0.41744186046511628"/>
    <s v="High"/>
    <n v="-6"/>
    <n v="4.5"/>
    <s v="Excellent"/>
    <n v="6"/>
  </r>
  <r>
    <x v="82"/>
    <n v="499"/>
    <n v="900"/>
    <n v="0.44555555555555554"/>
    <s v="High"/>
    <n v="0"/>
    <n v="3.9"/>
    <s v="Medium"/>
    <n v="0"/>
  </r>
  <r>
    <x v="83"/>
    <n v="475"/>
    <n v="931"/>
    <n v="0.48979591836734693"/>
    <s v="High"/>
    <n v="0"/>
    <n v="3.9"/>
    <s v="Medium"/>
    <n v="0"/>
  </r>
  <r>
    <x v="84"/>
    <n v="458"/>
    <n v="986"/>
    <n v="0.53549695740365111"/>
    <s v="High"/>
    <n v="-10"/>
    <n v="3"/>
    <s v="Medium"/>
    <n v="10"/>
  </r>
  <r>
    <x v="85"/>
    <n v="450"/>
    <n v="900"/>
    <n v="0.5"/>
    <s v="High"/>
    <n v="-1"/>
    <n v="2"/>
    <s v="Poor"/>
    <n v="1"/>
  </r>
  <r>
    <x v="86"/>
    <n v="445"/>
    <n v="873"/>
    <n v="0.49026345933562426"/>
    <s v="High"/>
    <n v="-69"/>
    <n v="2.8"/>
    <s v="Poor"/>
    <n v="69"/>
  </r>
  <r>
    <x v="87"/>
    <n v="420"/>
    <n v="647"/>
    <n v="0.3508500772797527"/>
    <s v="Medium"/>
    <n v="-49"/>
    <n v="4.5999999999999996"/>
    <s v="Excellent"/>
    <n v="49"/>
  </r>
  <r>
    <x v="82"/>
    <n v="399"/>
    <n v="896"/>
    <n v="0.5546875"/>
    <s v="High"/>
    <n v="0"/>
    <n v="3.9"/>
    <s v="Medium"/>
    <n v="0"/>
  </r>
  <r>
    <x v="88"/>
    <n v="389"/>
    <n v="656"/>
    <n v="0.40701219512195119"/>
    <s v="High"/>
    <n v="-36"/>
    <n v="4.3"/>
    <s v="Medium"/>
    <n v="36"/>
  </r>
  <r>
    <x v="89"/>
    <n v="382"/>
    <n v="700"/>
    <n v="0.45428571428571429"/>
    <s v="High"/>
    <n v="-17"/>
    <n v="2.6"/>
    <s v="Poor"/>
    <n v="17"/>
  </r>
  <r>
    <x v="90"/>
    <n v="345"/>
    <n v="602"/>
    <n v="0.42691029900332228"/>
    <s v="High"/>
    <n v="-6"/>
    <n v="2.2999999999999998"/>
    <s v="Poor"/>
    <n v="6"/>
  </r>
  <r>
    <x v="91"/>
    <n v="332"/>
    <n v="684"/>
    <n v="0.51461988304093564"/>
    <s v="High"/>
    <n v="-2"/>
    <n v="5"/>
    <s v="Excellent"/>
    <n v="2"/>
  </r>
  <r>
    <x v="92"/>
    <n v="330"/>
    <n v="647"/>
    <n v="0.48995363214837712"/>
    <s v="High"/>
    <n v="-1"/>
    <n v="4"/>
    <s v="Medium"/>
    <n v="1"/>
  </r>
  <r>
    <x v="93"/>
    <n v="325"/>
    <n v="680"/>
    <n v="0.5220588235294118"/>
    <s v="High"/>
    <n v="-15"/>
    <n v="2.7"/>
    <s v="Poor"/>
    <n v="15"/>
  </r>
  <r>
    <x v="94"/>
    <n v="299"/>
    <n v="600"/>
    <n v="0.50166666666666671"/>
    <s v="High"/>
    <n v="0"/>
    <n v="3.9"/>
    <s v="Medium"/>
    <n v="0"/>
  </r>
  <r>
    <x v="95"/>
    <n v="299"/>
    <n v="384"/>
    <n v="0.22135416666666666"/>
    <s v="Medium"/>
    <n v="0"/>
    <n v="3.9"/>
    <s v="Medium"/>
    <n v="0"/>
  </r>
  <r>
    <x v="96"/>
    <n v="274"/>
    <n v="537"/>
    <n v="0.48975791433891991"/>
    <s v="High"/>
    <n v="0"/>
    <n v="3.9"/>
    <s v="Medium"/>
    <n v="0"/>
  </r>
  <r>
    <x v="97"/>
    <n v="248"/>
    <n v="486"/>
    <n v="0.48971193415637859"/>
    <s v="High"/>
    <n v="0"/>
    <n v="3.9"/>
    <s v="Medium"/>
    <n v="0"/>
  </r>
  <r>
    <x v="98"/>
    <n v="238"/>
    <n v="476"/>
    <n v="0.5"/>
    <s v="High"/>
    <n v="0"/>
    <n v="3.9"/>
    <s v="Medium"/>
    <n v="0"/>
  </r>
  <r>
    <x v="99"/>
    <n v="230"/>
    <n v="450"/>
    <n v="0.48888888888888887"/>
    <s v="High"/>
    <n v="0"/>
    <n v="3.9"/>
    <s v="Medium"/>
    <n v="0"/>
  </r>
  <r>
    <x v="100"/>
    <n v="199"/>
    <n v="553"/>
    <n v="0.64014466546112114"/>
    <s v="High"/>
    <n v="0"/>
    <n v="3.9"/>
    <s v="Medium"/>
    <n v="0"/>
  </r>
  <r>
    <x v="101"/>
    <n v="199"/>
    <n v="504"/>
    <n v="0.60515873015873012"/>
    <s v="High"/>
    <n v="0"/>
    <n v="3.9"/>
    <s v="Medium"/>
    <n v="0"/>
  </r>
  <r>
    <x v="102"/>
    <n v="198"/>
    <n v="260"/>
    <n v="0.23846153846153847"/>
    <s v="Medium"/>
    <n v="0"/>
    <n v="3.9"/>
    <s v="Medium"/>
    <n v="0"/>
  </r>
  <r>
    <x v="103"/>
    <n v="195"/>
    <n v="360"/>
    <n v="0.45833333333333331"/>
    <s v="High"/>
    <n v="-2"/>
    <n v="5"/>
    <s v="Excellent"/>
    <n v="2"/>
  </r>
  <r>
    <x v="104"/>
    <n v="185"/>
    <n v="382"/>
    <n v="0.51570680628272247"/>
    <s v="High"/>
    <n v="-9"/>
    <n v="4.3"/>
    <s v="Medium"/>
    <n v="9"/>
  </r>
  <r>
    <x v="101"/>
    <n v="176"/>
    <n v="345"/>
    <n v="0.48985507246376814"/>
    <s v="High"/>
    <n v="0"/>
    <n v="3.9"/>
    <s v="Medium"/>
    <n v="0"/>
  </r>
  <r>
    <x v="105"/>
    <n v="171"/>
    <n v="360"/>
    <n v="0.52500000000000002"/>
    <s v="High"/>
    <n v="-2"/>
    <n v="5"/>
    <s v="Excellent"/>
    <n v="2"/>
  </r>
  <r>
    <x v="106"/>
    <n v="169"/>
    <n v="320"/>
    <n v="0.47187499999999999"/>
    <s v="High"/>
    <n v="0"/>
    <n v="3.9"/>
    <s v="Medium"/>
    <n v="0"/>
  </r>
  <r>
    <x v="107"/>
    <n v="105"/>
    <n v="200"/>
    <n v="0.47499999999999998"/>
    <s v="High"/>
    <n v="0"/>
    <n v="3.9"/>
    <s v="Medium"/>
    <n v="0"/>
  </r>
  <r>
    <x v="108"/>
    <n v="38"/>
    <n v="80"/>
    <n v="0.52500000000000002"/>
    <s v="High"/>
    <n v="-13"/>
    <n v="3.3"/>
    <s v="Medium"/>
    <n v="13"/>
  </r>
  <r>
    <x v="109"/>
    <m/>
    <m/>
    <n v="0.36714123251752756"/>
    <m/>
    <m/>
    <n v="3.8946428571428542"/>
    <m/>
    <n v="72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n v="6143"/>
    <n v="0.38954908025394758"/>
    <x v="0"/>
    <n v="-5"/>
    <x v="0"/>
    <x v="0"/>
    <x v="0"/>
  </r>
  <r>
    <x v="1"/>
    <x v="1"/>
    <n v="4588"/>
    <n v="0.20662598081952921"/>
    <x v="0"/>
    <n v="-1"/>
    <x v="1"/>
    <x v="1"/>
    <x v="1"/>
  </r>
  <r>
    <x v="2"/>
    <x v="2"/>
    <n v="3699"/>
    <n v="4.1362530413625302E-2"/>
    <x v="1"/>
    <n v="0"/>
    <x v="2"/>
    <x v="0"/>
    <x v="2"/>
  </r>
  <r>
    <x v="3"/>
    <x v="3"/>
    <n v="3290"/>
    <n v="8.8449848024316116E-2"/>
    <x v="1"/>
    <n v="-15"/>
    <x v="3"/>
    <x v="0"/>
    <x v="3"/>
  </r>
  <r>
    <x v="4"/>
    <x v="3"/>
    <n v="3699"/>
    <n v="0.18924033522573669"/>
    <x v="1"/>
    <n v="-5"/>
    <x v="4"/>
    <x v="1"/>
    <x v="0"/>
  </r>
  <r>
    <x v="5"/>
    <x v="4"/>
    <n v="3520"/>
    <n v="0.18181818181818182"/>
    <x v="1"/>
    <n v="-12"/>
    <x v="5"/>
    <x v="0"/>
    <x v="4"/>
  </r>
  <r>
    <x v="6"/>
    <x v="5"/>
    <n v="3810"/>
    <n v="0.26535433070866143"/>
    <x v="0"/>
    <n v="0"/>
    <x v="2"/>
    <x v="0"/>
    <x v="2"/>
  </r>
  <r>
    <x v="7"/>
    <x v="6"/>
    <n v="4471"/>
    <n v="0.38492507269067322"/>
    <x v="0"/>
    <n v="0"/>
    <x v="2"/>
    <x v="0"/>
    <x v="2"/>
  </r>
  <r>
    <x v="8"/>
    <x v="7"/>
    <n v="3032"/>
    <n v="0.23515831134564644"/>
    <x v="0"/>
    <n v="-55"/>
    <x v="4"/>
    <x v="1"/>
    <x v="5"/>
  </r>
  <r>
    <x v="9"/>
    <x v="8"/>
    <n v="3240"/>
    <n v="0.29012345679012347"/>
    <x v="0"/>
    <n v="-5"/>
    <x v="0"/>
    <x v="0"/>
    <x v="0"/>
  </r>
  <r>
    <x v="10"/>
    <x v="9"/>
    <n v="4080"/>
    <n v="0.46078431372549017"/>
    <x v="2"/>
    <n v="0"/>
    <x v="2"/>
    <x v="0"/>
    <x v="2"/>
  </r>
  <r>
    <x v="11"/>
    <x v="10"/>
    <n v="2923"/>
    <n v="0.24769072870338693"/>
    <x v="0"/>
    <n v="-24"/>
    <x v="4"/>
    <x v="1"/>
    <x v="6"/>
  </r>
  <r>
    <x v="12"/>
    <x v="11"/>
    <n v="2500"/>
    <n v="0.13200000000000001"/>
    <x v="1"/>
    <n v="-6"/>
    <x v="6"/>
    <x v="2"/>
    <x v="7"/>
  </r>
  <r>
    <x v="13"/>
    <x v="12"/>
    <n v="2169"/>
    <n v="1.705855232826187E-2"/>
    <x v="1"/>
    <n v="0"/>
    <x v="2"/>
    <x v="0"/>
    <x v="2"/>
  </r>
  <r>
    <x v="14"/>
    <x v="13"/>
    <n v="4700"/>
    <n v="0.55000000000000004"/>
    <x v="2"/>
    <n v="-13"/>
    <x v="7"/>
    <x v="2"/>
    <x v="8"/>
  </r>
  <r>
    <x v="15"/>
    <x v="14"/>
    <n v="4500"/>
    <n v="0.54488888888888887"/>
    <x v="2"/>
    <n v="-7"/>
    <x v="8"/>
    <x v="0"/>
    <x v="9"/>
  </r>
  <r>
    <x v="16"/>
    <x v="15"/>
    <n v="3971"/>
    <n v="0.49005288340468395"/>
    <x v="2"/>
    <n v="-3"/>
    <x v="1"/>
    <x v="1"/>
    <x v="10"/>
  </r>
  <r>
    <x v="17"/>
    <x v="16"/>
    <n v="2699"/>
    <n v="0.26639496109670247"/>
    <x v="0"/>
    <n v="-32"/>
    <x v="9"/>
    <x v="1"/>
    <x v="11"/>
  </r>
  <r>
    <x v="18"/>
    <x v="17"/>
    <n v="2650"/>
    <n v="0.26792452830188679"/>
    <x v="0"/>
    <n v="-20"/>
    <x v="10"/>
    <x v="1"/>
    <x v="12"/>
  </r>
  <r>
    <x v="19"/>
    <x v="18"/>
    <n v="1899"/>
    <n v="1.2638230647709321E-2"/>
    <x v="1"/>
    <n v="0"/>
    <x v="2"/>
    <x v="0"/>
    <x v="2"/>
  </r>
  <r>
    <x v="20"/>
    <x v="19"/>
    <n v="3220"/>
    <n v="0.42236024844720499"/>
    <x v="2"/>
    <n v="0"/>
    <x v="2"/>
    <x v="0"/>
    <x v="2"/>
  </r>
  <r>
    <x v="21"/>
    <x v="20"/>
    <n v="3490"/>
    <n v="0.47851002865329512"/>
    <x v="2"/>
    <n v="-9"/>
    <x v="8"/>
    <x v="0"/>
    <x v="13"/>
  </r>
  <r>
    <x v="22"/>
    <x v="21"/>
    <n v="2700"/>
    <n v="0.33333333333333331"/>
    <x v="0"/>
    <n v="-2"/>
    <x v="9"/>
    <x v="1"/>
    <x v="14"/>
  </r>
  <r>
    <x v="23"/>
    <x v="22"/>
    <n v="1799"/>
    <n v="1.7231795441912175E-2"/>
    <x v="1"/>
    <n v="0"/>
    <x v="2"/>
    <x v="0"/>
    <x v="2"/>
  </r>
  <r>
    <x v="24"/>
    <x v="23"/>
    <n v="2499"/>
    <n v="0.2965186074429772"/>
    <x v="0"/>
    <n v="-20"/>
    <x v="11"/>
    <x v="0"/>
    <x v="12"/>
  </r>
  <r>
    <x v="25"/>
    <x v="24"/>
    <n v="2356"/>
    <n v="0.26146010186757218"/>
    <x v="0"/>
    <n v="-5"/>
    <x v="12"/>
    <x v="1"/>
    <x v="0"/>
  </r>
  <r>
    <x v="26"/>
    <x v="25"/>
    <n v="1799"/>
    <n v="3.7242912729294052E-2"/>
    <x v="1"/>
    <n v="0"/>
    <x v="2"/>
    <x v="0"/>
    <x v="2"/>
  </r>
  <r>
    <x v="27"/>
    <x v="26"/>
    <n v="2499"/>
    <n v="0.32773109243697479"/>
    <x v="0"/>
    <n v="-9"/>
    <x v="13"/>
    <x v="0"/>
    <x v="13"/>
  </r>
  <r>
    <x v="28"/>
    <x v="27"/>
    <n v="1699"/>
    <n v="1.9423190111830489E-2"/>
    <x v="1"/>
    <n v="0"/>
    <x v="2"/>
    <x v="0"/>
    <x v="2"/>
  </r>
  <r>
    <x v="29"/>
    <x v="28"/>
    <n v="1699"/>
    <n v="2.2954679223072396E-2"/>
    <x v="1"/>
    <n v="0"/>
    <x v="2"/>
    <x v="0"/>
    <x v="2"/>
  </r>
  <r>
    <x v="30"/>
    <x v="29"/>
    <n v="1699"/>
    <n v="2.4131842260153032E-2"/>
    <x v="1"/>
    <n v="0"/>
    <x v="2"/>
    <x v="0"/>
    <x v="2"/>
  </r>
  <r>
    <x v="31"/>
    <x v="30"/>
    <n v="2150"/>
    <n v="0.23255813953488372"/>
    <x v="0"/>
    <n v="-14"/>
    <x v="14"/>
    <x v="0"/>
    <x v="15"/>
  </r>
  <r>
    <x v="32"/>
    <x v="31"/>
    <n v="2690"/>
    <n v="0.39776951672862454"/>
    <x v="0"/>
    <n v="-1"/>
    <x v="1"/>
    <x v="1"/>
    <x v="1"/>
  </r>
  <r>
    <x v="33"/>
    <x v="32"/>
    <n v="2929"/>
    <n v="0.45373847729600547"/>
    <x v="2"/>
    <n v="-5"/>
    <x v="5"/>
    <x v="0"/>
    <x v="0"/>
  </r>
  <r>
    <x v="34"/>
    <x v="33"/>
    <n v="2499"/>
    <n v="0.36774709883953582"/>
    <x v="0"/>
    <n v="-7"/>
    <x v="10"/>
    <x v="1"/>
    <x v="9"/>
  </r>
  <r>
    <x v="35"/>
    <x v="34"/>
    <n v="2988"/>
    <n v="0.4745649263721553"/>
    <x v="2"/>
    <n v="-7"/>
    <x v="7"/>
    <x v="2"/>
    <x v="9"/>
  </r>
  <r>
    <x v="36"/>
    <x v="35"/>
    <n v="1660"/>
    <n v="8.0722891566265054E-2"/>
    <x v="1"/>
    <n v="0"/>
    <x v="2"/>
    <x v="0"/>
    <x v="2"/>
  </r>
  <r>
    <x v="37"/>
    <x v="36"/>
    <n v="1699"/>
    <n v="0.13596233078281342"/>
    <x v="1"/>
    <n v="0"/>
    <x v="2"/>
    <x v="0"/>
    <x v="2"/>
  </r>
  <r>
    <x v="38"/>
    <x v="37"/>
    <n v="1699"/>
    <n v="0.13713949381989404"/>
    <x v="1"/>
    <n v="0"/>
    <x v="2"/>
    <x v="0"/>
    <x v="2"/>
  </r>
  <r>
    <x v="39"/>
    <x v="38"/>
    <n v="1499"/>
    <n v="2.4683122081387593E-2"/>
    <x v="1"/>
    <n v="0"/>
    <x v="2"/>
    <x v="0"/>
    <x v="2"/>
  </r>
  <r>
    <x v="40"/>
    <x v="39"/>
    <n v="2290"/>
    <n v="0.36244541484716158"/>
    <x v="0"/>
    <n v="0"/>
    <x v="2"/>
    <x v="0"/>
    <x v="2"/>
  </r>
  <r>
    <x v="41"/>
    <x v="40"/>
    <n v="1499"/>
    <n v="2.6684456304202801E-2"/>
    <x v="1"/>
    <n v="0"/>
    <x v="2"/>
    <x v="0"/>
    <x v="2"/>
  </r>
  <r>
    <x v="42"/>
    <x v="41"/>
    <n v="2420"/>
    <n v="0.41322314049586778"/>
    <x v="2"/>
    <n v="0"/>
    <x v="2"/>
    <x v="0"/>
    <x v="2"/>
  </r>
  <r>
    <x v="43"/>
    <x v="42"/>
    <n v="1990"/>
    <n v="0.32160804020100503"/>
    <x v="0"/>
    <n v="-13"/>
    <x v="5"/>
    <x v="0"/>
    <x v="8"/>
  </r>
  <r>
    <x v="44"/>
    <x v="43"/>
    <n v="2500"/>
    <n v="0.48"/>
    <x v="2"/>
    <n v="0"/>
    <x v="2"/>
    <x v="0"/>
    <x v="2"/>
  </r>
  <r>
    <x v="45"/>
    <x v="44"/>
    <n v="2800"/>
    <n v="0.54500000000000004"/>
    <x v="2"/>
    <n v="-5"/>
    <x v="12"/>
    <x v="1"/>
    <x v="0"/>
  </r>
  <r>
    <x v="46"/>
    <x v="45"/>
    <n v="1555"/>
    <n v="0.21543408360128619"/>
    <x v="0"/>
    <n v="-16"/>
    <x v="15"/>
    <x v="2"/>
    <x v="16"/>
  </r>
  <r>
    <x v="47"/>
    <x v="46"/>
    <n v="2400"/>
    <n v="0.5"/>
    <x v="2"/>
    <n v="0"/>
    <x v="2"/>
    <x v="0"/>
    <x v="2"/>
  </r>
  <r>
    <x v="48"/>
    <x v="46"/>
    <n v="1950"/>
    <n v="0.38461538461538464"/>
    <x v="0"/>
    <n v="0"/>
    <x v="2"/>
    <x v="0"/>
    <x v="2"/>
  </r>
  <r>
    <x v="49"/>
    <x v="47"/>
    <n v="1785"/>
    <n v="0.33333333333333331"/>
    <x v="0"/>
    <n v="0"/>
    <x v="2"/>
    <x v="0"/>
    <x v="2"/>
  </r>
  <r>
    <x v="50"/>
    <x v="47"/>
    <n v="1810"/>
    <n v="0.34254143646408841"/>
    <x v="0"/>
    <n v="0"/>
    <x v="2"/>
    <x v="0"/>
    <x v="2"/>
  </r>
  <r>
    <x v="51"/>
    <x v="48"/>
    <n v="2199"/>
    <n v="0.45929968167348795"/>
    <x v="2"/>
    <n v="-1"/>
    <x v="0"/>
    <x v="0"/>
    <x v="1"/>
  </r>
  <r>
    <x v="52"/>
    <x v="49"/>
    <n v="1737"/>
    <n v="0.3379389752446747"/>
    <x v="0"/>
    <n v="0"/>
    <x v="2"/>
    <x v="0"/>
    <x v="2"/>
  </r>
  <r>
    <x v="53"/>
    <x v="50"/>
    <n v="1874"/>
    <n v="0.42369263607257202"/>
    <x v="2"/>
    <n v="0"/>
    <x v="2"/>
    <x v="0"/>
    <x v="2"/>
  </r>
  <r>
    <x v="54"/>
    <x v="51"/>
    <n v="2000"/>
    <n v="0.5"/>
    <x v="2"/>
    <n v="-7"/>
    <x v="16"/>
    <x v="2"/>
    <x v="9"/>
  </r>
  <r>
    <x v="55"/>
    <x v="52"/>
    <n v="2000"/>
    <n v="0.50049999999999994"/>
    <x v="2"/>
    <n v="0"/>
    <x v="2"/>
    <x v="0"/>
    <x v="2"/>
  </r>
  <r>
    <x v="56"/>
    <x v="53"/>
    <n v="1966"/>
    <n v="0.49237029501525942"/>
    <x v="2"/>
    <n v="-44"/>
    <x v="4"/>
    <x v="1"/>
    <x v="17"/>
  </r>
  <r>
    <x v="57"/>
    <x v="54"/>
    <n v="1500"/>
    <n v="0.34"/>
    <x v="0"/>
    <n v="-39"/>
    <x v="10"/>
    <x v="1"/>
    <x v="18"/>
  </r>
  <r>
    <x v="58"/>
    <x v="54"/>
    <n v="1814"/>
    <n v="0.45424476295479604"/>
    <x v="2"/>
    <n v="-6"/>
    <x v="17"/>
    <x v="2"/>
    <x v="7"/>
  </r>
  <r>
    <x v="59"/>
    <x v="55"/>
    <n v="1580"/>
    <n v="0.37468354430379747"/>
    <x v="0"/>
    <n v="-2"/>
    <x v="3"/>
    <x v="0"/>
    <x v="14"/>
  </r>
  <r>
    <x v="60"/>
    <x v="56"/>
    <n v="1490"/>
    <n v="0.34228187919463088"/>
    <x v="0"/>
    <n v="-12"/>
    <x v="10"/>
    <x v="1"/>
    <x v="4"/>
  </r>
  <r>
    <x v="61"/>
    <x v="57"/>
    <n v="1920"/>
    <n v="0.49010416666666667"/>
    <x v="2"/>
    <n v="-1"/>
    <x v="1"/>
    <x v="1"/>
    <x v="1"/>
  </r>
  <r>
    <x v="62"/>
    <x v="58"/>
    <n v="1814"/>
    <n v="0.46637265711135611"/>
    <x v="2"/>
    <n v="-6"/>
    <x v="17"/>
    <x v="2"/>
    <x v="7"/>
  </r>
  <r>
    <x v="63"/>
    <x v="59"/>
    <n v="1525"/>
    <n v="0.37704918032786883"/>
    <x v="0"/>
    <n v="-2"/>
    <x v="9"/>
    <x v="1"/>
    <x v="14"/>
  </r>
  <r>
    <x v="64"/>
    <x v="60"/>
    <n v="1699"/>
    <n v="0.47086521483225424"/>
    <x v="2"/>
    <n v="0"/>
    <x v="2"/>
    <x v="0"/>
    <x v="2"/>
  </r>
  <r>
    <x v="65"/>
    <x v="61"/>
    <n v="1350"/>
    <n v="0.34814814814814815"/>
    <x v="0"/>
    <n v="-6"/>
    <x v="3"/>
    <x v="0"/>
    <x v="7"/>
  </r>
  <r>
    <x v="66"/>
    <x v="62"/>
    <n v="1700"/>
    <n v="0.5"/>
    <x v="2"/>
    <n v="0"/>
    <x v="2"/>
    <x v="0"/>
    <x v="2"/>
  </r>
  <r>
    <x v="67"/>
    <x v="63"/>
    <n v="1567"/>
    <n v="0.49010848755583919"/>
    <x v="2"/>
    <n v="0"/>
    <x v="2"/>
    <x v="0"/>
    <x v="2"/>
  </r>
  <r>
    <x v="68"/>
    <x v="63"/>
    <n v="1343"/>
    <n v="0.4050632911392405"/>
    <x v="2"/>
    <n v="0"/>
    <x v="2"/>
    <x v="0"/>
    <x v="2"/>
  </r>
  <r>
    <x v="69"/>
    <x v="63"/>
    <n v="999"/>
    <n v="0.20020020020020021"/>
    <x v="0"/>
    <n v="-12"/>
    <x v="11"/>
    <x v="0"/>
    <x v="4"/>
  </r>
  <r>
    <x v="70"/>
    <x v="63"/>
    <n v="900"/>
    <n v="0.11222222222222222"/>
    <x v="1"/>
    <n v="0"/>
    <x v="2"/>
    <x v="0"/>
    <x v="2"/>
  </r>
  <r>
    <x v="71"/>
    <x v="64"/>
    <n v="1485"/>
    <n v="0.46801346801346799"/>
    <x v="2"/>
    <n v="0"/>
    <x v="2"/>
    <x v="0"/>
    <x v="2"/>
  </r>
  <r>
    <x v="72"/>
    <x v="65"/>
    <n v="1343"/>
    <n v="0.47952345495160087"/>
    <x v="2"/>
    <n v="0"/>
    <x v="2"/>
    <x v="0"/>
    <x v="2"/>
  </r>
  <r>
    <x v="73"/>
    <x v="66"/>
    <n v="1200"/>
    <n v="0.42499999999999999"/>
    <x v="2"/>
    <n v="0"/>
    <x v="2"/>
    <x v="0"/>
    <x v="2"/>
  </r>
  <r>
    <x v="74"/>
    <x v="67"/>
    <n v="1316"/>
    <n v="0.49012158054711247"/>
    <x v="2"/>
    <n v="0"/>
    <x v="2"/>
    <x v="0"/>
    <x v="2"/>
  </r>
  <r>
    <x v="67"/>
    <x v="68"/>
    <n v="1288"/>
    <n v="0.48990683229813664"/>
    <x v="2"/>
    <n v="0"/>
    <x v="2"/>
    <x v="0"/>
    <x v="2"/>
  </r>
  <r>
    <x v="75"/>
    <x v="69"/>
    <n v="1100"/>
    <n v="0.42727272727272725"/>
    <x v="2"/>
    <n v="0"/>
    <x v="2"/>
    <x v="0"/>
    <x v="2"/>
  </r>
  <r>
    <x v="76"/>
    <x v="70"/>
    <n v="1060"/>
    <n v="0.42452830188679247"/>
    <x v="2"/>
    <n v="0"/>
    <x v="2"/>
    <x v="0"/>
    <x v="2"/>
  </r>
  <r>
    <x v="77"/>
    <x v="71"/>
    <n v="1035"/>
    <n v="0.46666666666666667"/>
    <x v="2"/>
    <n v="-12"/>
    <x v="12"/>
    <x v="1"/>
    <x v="4"/>
  </r>
  <r>
    <x v="78"/>
    <x v="72"/>
    <n v="999"/>
    <n v="0.47247247247247248"/>
    <x v="2"/>
    <n v="-14"/>
    <x v="11"/>
    <x v="0"/>
    <x v="15"/>
  </r>
  <r>
    <x v="79"/>
    <x v="73"/>
    <n v="1029"/>
    <n v="0.48979591836734693"/>
    <x v="2"/>
    <n v="0"/>
    <x v="2"/>
    <x v="0"/>
    <x v="2"/>
  </r>
  <r>
    <x v="80"/>
    <x v="74"/>
    <n v="899"/>
    <n v="0.43381535038932145"/>
    <x v="2"/>
    <n v="-5"/>
    <x v="0"/>
    <x v="0"/>
    <x v="0"/>
  </r>
  <r>
    <x v="81"/>
    <x v="75"/>
    <n v="860"/>
    <n v="0.41744186046511628"/>
    <x v="2"/>
    <n v="-6"/>
    <x v="9"/>
    <x v="1"/>
    <x v="7"/>
  </r>
  <r>
    <x v="82"/>
    <x v="76"/>
    <n v="900"/>
    <n v="0.44555555555555554"/>
    <x v="2"/>
    <n v="0"/>
    <x v="2"/>
    <x v="0"/>
    <x v="2"/>
  </r>
  <r>
    <x v="83"/>
    <x v="77"/>
    <n v="931"/>
    <n v="0.48979591836734693"/>
    <x v="2"/>
    <n v="0"/>
    <x v="2"/>
    <x v="0"/>
    <x v="2"/>
  </r>
  <r>
    <x v="84"/>
    <x v="78"/>
    <n v="986"/>
    <n v="0.53549695740365111"/>
    <x v="2"/>
    <n v="-10"/>
    <x v="0"/>
    <x v="0"/>
    <x v="19"/>
  </r>
  <r>
    <x v="85"/>
    <x v="79"/>
    <n v="900"/>
    <n v="0.5"/>
    <x v="2"/>
    <n v="-1"/>
    <x v="18"/>
    <x v="2"/>
    <x v="1"/>
  </r>
  <r>
    <x v="86"/>
    <x v="80"/>
    <n v="873"/>
    <n v="0.49026345933562426"/>
    <x v="2"/>
    <n v="-69"/>
    <x v="19"/>
    <x v="2"/>
    <x v="20"/>
  </r>
  <r>
    <x v="87"/>
    <x v="81"/>
    <n v="647"/>
    <n v="0.3508500772797527"/>
    <x v="0"/>
    <n v="-49"/>
    <x v="4"/>
    <x v="1"/>
    <x v="21"/>
  </r>
  <r>
    <x v="82"/>
    <x v="82"/>
    <n v="896"/>
    <n v="0.5546875"/>
    <x v="2"/>
    <n v="0"/>
    <x v="2"/>
    <x v="0"/>
    <x v="2"/>
  </r>
  <r>
    <x v="88"/>
    <x v="83"/>
    <n v="656"/>
    <n v="0.40701219512195119"/>
    <x v="2"/>
    <n v="-36"/>
    <x v="8"/>
    <x v="0"/>
    <x v="22"/>
  </r>
  <r>
    <x v="89"/>
    <x v="84"/>
    <n v="700"/>
    <n v="0.45428571428571429"/>
    <x v="2"/>
    <n v="-17"/>
    <x v="20"/>
    <x v="2"/>
    <x v="23"/>
  </r>
  <r>
    <x v="90"/>
    <x v="85"/>
    <n v="602"/>
    <n v="0.42691029900332228"/>
    <x v="2"/>
    <n v="-6"/>
    <x v="16"/>
    <x v="2"/>
    <x v="7"/>
  </r>
  <r>
    <x v="91"/>
    <x v="86"/>
    <n v="684"/>
    <n v="0.51461988304093564"/>
    <x v="2"/>
    <n v="-2"/>
    <x v="1"/>
    <x v="1"/>
    <x v="14"/>
  </r>
  <r>
    <x v="92"/>
    <x v="87"/>
    <n v="647"/>
    <n v="0.48995363214837712"/>
    <x v="2"/>
    <n v="-1"/>
    <x v="3"/>
    <x v="0"/>
    <x v="1"/>
  </r>
  <r>
    <x v="93"/>
    <x v="88"/>
    <n v="680"/>
    <n v="0.5220588235294118"/>
    <x v="2"/>
    <n v="-15"/>
    <x v="21"/>
    <x v="2"/>
    <x v="3"/>
  </r>
  <r>
    <x v="94"/>
    <x v="89"/>
    <n v="600"/>
    <n v="0.50166666666666671"/>
    <x v="2"/>
    <n v="0"/>
    <x v="2"/>
    <x v="0"/>
    <x v="2"/>
  </r>
  <r>
    <x v="95"/>
    <x v="89"/>
    <n v="384"/>
    <n v="0.22135416666666666"/>
    <x v="0"/>
    <n v="0"/>
    <x v="2"/>
    <x v="0"/>
    <x v="2"/>
  </r>
  <r>
    <x v="96"/>
    <x v="90"/>
    <n v="537"/>
    <n v="0.48975791433891991"/>
    <x v="2"/>
    <n v="0"/>
    <x v="2"/>
    <x v="0"/>
    <x v="2"/>
  </r>
  <r>
    <x v="97"/>
    <x v="91"/>
    <n v="486"/>
    <n v="0.48971193415637859"/>
    <x v="2"/>
    <n v="0"/>
    <x v="2"/>
    <x v="0"/>
    <x v="2"/>
  </r>
  <r>
    <x v="98"/>
    <x v="92"/>
    <n v="476"/>
    <n v="0.5"/>
    <x v="2"/>
    <n v="0"/>
    <x v="2"/>
    <x v="0"/>
    <x v="2"/>
  </r>
  <r>
    <x v="99"/>
    <x v="93"/>
    <n v="450"/>
    <n v="0.48888888888888887"/>
    <x v="2"/>
    <n v="0"/>
    <x v="2"/>
    <x v="0"/>
    <x v="2"/>
  </r>
  <r>
    <x v="100"/>
    <x v="94"/>
    <n v="553"/>
    <n v="0.64014466546112114"/>
    <x v="2"/>
    <n v="0"/>
    <x v="2"/>
    <x v="0"/>
    <x v="2"/>
  </r>
  <r>
    <x v="101"/>
    <x v="94"/>
    <n v="504"/>
    <n v="0.60515873015873012"/>
    <x v="2"/>
    <n v="0"/>
    <x v="2"/>
    <x v="0"/>
    <x v="2"/>
  </r>
  <r>
    <x v="102"/>
    <x v="95"/>
    <n v="260"/>
    <n v="0.23846153846153847"/>
    <x v="0"/>
    <n v="0"/>
    <x v="2"/>
    <x v="0"/>
    <x v="2"/>
  </r>
  <r>
    <x v="103"/>
    <x v="96"/>
    <n v="360"/>
    <n v="0.45833333333333331"/>
    <x v="2"/>
    <n v="-2"/>
    <x v="1"/>
    <x v="1"/>
    <x v="14"/>
  </r>
  <r>
    <x v="104"/>
    <x v="97"/>
    <n v="382"/>
    <n v="0.51570680628272247"/>
    <x v="2"/>
    <n v="-9"/>
    <x v="8"/>
    <x v="0"/>
    <x v="13"/>
  </r>
  <r>
    <x v="101"/>
    <x v="98"/>
    <n v="345"/>
    <n v="0.48985507246376814"/>
    <x v="2"/>
    <n v="0"/>
    <x v="2"/>
    <x v="0"/>
    <x v="2"/>
  </r>
  <r>
    <x v="105"/>
    <x v="99"/>
    <n v="360"/>
    <n v="0.52500000000000002"/>
    <x v="2"/>
    <n v="-2"/>
    <x v="1"/>
    <x v="1"/>
    <x v="14"/>
  </r>
  <r>
    <x v="106"/>
    <x v="100"/>
    <n v="320"/>
    <n v="0.47187499999999999"/>
    <x v="2"/>
    <n v="0"/>
    <x v="2"/>
    <x v="0"/>
    <x v="2"/>
  </r>
  <r>
    <x v="107"/>
    <x v="101"/>
    <n v="200"/>
    <n v="0.47499999999999998"/>
    <x v="2"/>
    <n v="0"/>
    <x v="2"/>
    <x v="0"/>
    <x v="2"/>
  </r>
  <r>
    <x v="108"/>
    <x v="102"/>
    <n v="80"/>
    <n v="0.52500000000000002"/>
    <x v="2"/>
    <n v="-13"/>
    <x v="22"/>
    <x v="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7A0811-077A-4219-ABBF-79EAF1AD7B7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4" firstHeaderRow="1" firstDataRow="1" firstDataCol="1"/>
  <pivotFields count="9">
    <pivotField axis="axisRow" showAll="0" measureFilter="1" sortType="descending">
      <items count="111">
        <item x="22"/>
        <item x="57"/>
        <item x="63"/>
        <item x="43"/>
        <item x="60"/>
        <item x="86"/>
        <item x="6"/>
        <item x="33"/>
        <item x="8"/>
        <item x="102"/>
        <item x="28"/>
        <item x="3"/>
        <item x="19"/>
        <item x="47"/>
        <item x="48"/>
        <item x="71"/>
        <item x="0"/>
        <item x="54"/>
        <item x="56"/>
        <item x="73"/>
        <item x="108"/>
        <item x="97"/>
        <item x="77"/>
        <item x="83"/>
        <item x="20"/>
        <item x="12"/>
        <item x="24"/>
        <item x="17"/>
        <item x="18"/>
        <item x="40"/>
        <item x="14"/>
        <item x="100"/>
        <item x="64"/>
        <item x="49"/>
        <item x="99"/>
        <item x="62"/>
        <item x="53"/>
        <item x="42"/>
        <item x="89"/>
        <item x="67"/>
        <item x="91"/>
        <item x="58"/>
        <item x="79"/>
        <item x="76"/>
        <item x="61"/>
        <item x="106"/>
        <item x="94"/>
        <item x="74"/>
        <item x="96"/>
        <item x="50"/>
        <item x="55"/>
        <item x="72"/>
        <item x="105"/>
        <item x="101"/>
        <item x="26"/>
        <item x="68"/>
        <item x="59"/>
        <item x="32"/>
        <item x="35"/>
        <item x="87"/>
        <item x="104"/>
        <item x="31"/>
        <item x="69"/>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x="109"/>
        <item t="default"/>
      </items>
      <autoSortScope>
        <pivotArea dataOnly="0" outline="0" fieldPosition="0">
          <references count="1">
            <reference field="4294967294" count="1" selected="0">
              <x v="0"/>
            </reference>
          </references>
        </pivotArea>
      </autoSortScope>
    </pivotField>
    <pivotField showAll="0"/>
    <pivotField showAll="0"/>
    <pivotField numFmtId="10" showAll="0"/>
    <pivotField showAll="0"/>
    <pivotField showAll="0"/>
    <pivotField dataField="1" showAll="0"/>
    <pivotField showAll="0"/>
    <pivotField showAll="0"/>
  </pivotFields>
  <rowFields count="1">
    <field x="0"/>
  </rowFields>
  <rowItems count="11">
    <i>
      <x v="52"/>
    </i>
    <i>
      <x v="68"/>
    </i>
    <i>
      <x v="65"/>
    </i>
    <i>
      <x v="40"/>
    </i>
    <i>
      <x v="87"/>
    </i>
    <i>
      <x v="44"/>
    </i>
    <i>
      <x v="57"/>
    </i>
    <i>
      <x v="70"/>
    </i>
    <i>
      <x v="90"/>
    </i>
    <i>
      <x v="22"/>
    </i>
    <i t="grand">
      <x/>
    </i>
  </rowItems>
  <colItems count="1">
    <i/>
  </colItems>
  <dataFields count="1">
    <dataField name="Average of Rating(Out of 5)" fld="6" subtotal="average" baseField="0" baseItem="0"/>
  </dataFields>
  <chartFormats count="2">
    <chartFormat chart="10"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27A59-079A-4D3B-91D4-BCF406E33DB7}"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9">
    <pivotField axis="axisRow" showAll="0" measureFilter="1" sortType="descending">
      <items count="110">
        <item x="22"/>
        <item x="57"/>
        <item x="63"/>
        <item x="43"/>
        <item x="60"/>
        <item x="86"/>
        <item x="6"/>
        <item x="33"/>
        <item x="8"/>
        <item x="102"/>
        <item x="28"/>
        <item x="3"/>
        <item x="19"/>
        <item x="47"/>
        <item x="48"/>
        <item x="71"/>
        <item x="0"/>
        <item x="54"/>
        <item x="56"/>
        <item x="73"/>
        <item x="108"/>
        <item x="97"/>
        <item x="77"/>
        <item x="83"/>
        <item x="20"/>
        <item x="12"/>
        <item x="24"/>
        <item x="17"/>
        <item x="18"/>
        <item x="40"/>
        <item x="14"/>
        <item x="100"/>
        <item x="64"/>
        <item x="49"/>
        <item x="99"/>
        <item x="62"/>
        <item x="53"/>
        <item x="42"/>
        <item x="89"/>
        <item x="67"/>
        <item x="91"/>
        <item x="58"/>
        <item x="79"/>
        <item x="76"/>
        <item x="61"/>
        <item x="106"/>
        <item x="94"/>
        <item x="74"/>
        <item x="96"/>
        <item x="50"/>
        <item x="55"/>
        <item x="72"/>
        <item x="105"/>
        <item x="101"/>
        <item x="26"/>
        <item x="68"/>
        <item x="59"/>
        <item x="32"/>
        <item x="35"/>
        <item x="87"/>
        <item x="104"/>
        <item x="31"/>
        <item x="69"/>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numFmtId="8" showAll="0">
      <items count="11">
        <item x="0"/>
        <item x="1"/>
        <item x="2"/>
        <item x="3"/>
        <item x="4"/>
        <item x="5"/>
        <item x="6"/>
        <item x="7"/>
        <item x="8"/>
        <item x="9"/>
        <item t="default"/>
      </items>
    </pivotField>
    <pivotField numFmtId="8" showAll="0"/>
    <pivotField numFmtId="10" showAll="0"/>
    <pivotField showAll="0">
      <items count="4">
        <item x="2"/>
        <item x="1"/>
        <item x="0"/>
        <item t="default"/>
      </items>
    </pivotField>
    <pivotField showAll="0"/>
    <pivotField showAll="0"/>
    <pivotField showAll="0">
      <items count="4">
        <item x="1"/>
        <item x="0"/>
        <item x="2"/>
        <item t="default"/>
      </items>
    </pivotField>
    <pivotField dataField="1" showAll="0"/>
  </pivotFields>
  <rowFields count="1">
    <field x="0"/>
  </rowFields>
  <rowItems count="11">
    <i>
      <x v="5"/>
    </i>
    <i>
      <x v="8"/>
    </i>
    <i>
      <x v="59"/>
    </i>
    <i>
      <x v="18"/>
    </i>
    <i>
      <x v="1"/>
    </i>
    <i>
      <x v="95"/>
    </i>
    <i>
      <x v="27"/>
    </i>
    <i>
      <x v="91"/>
    </i>
    <i>
      <x v="28"/>
    </i>
    <i>
      <x v="26"/>
    </i>
    <i t="grand">
      <x/>
    </i>
  </rowItems>
  <colItems count="1">
    <i/>
  </colItems>
  <dataFields count="1">
    <dataField name="Sum of New Review" fld="8"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01A27A-70A5-4008-98FA-59F0AC083BD2}"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9">
    <pivotField axis="axisRow" showAll="0" measureFilter="1" sortType="descending">
      <items count="110">
        <item x="22"/>
        <item x="57"/>
        <item x="63"/>
        <item x="43"/>
        <item x="60"/>
        <item x="86"/>
        <item x="6"/>
        <item x="33"/>
        <item x="8"/>
        <item x="102"/>
        <item x="28"/>
        <item x="3"/>
        <item x="19"/>
        <item x="47"/>
        <item x="48"/>
        <item x="71"/>
        <item x="0"/>
        <item x="54"/>
        <item x="56"/>
        <item x="73"/>
        <item x="108"/>
        <item x="97"/>
        <item x="77"/>
        <item x="83"/>
        <item x="20"/>
        <item x="12"/>
        <item x="24"/>
        <item x="17"/>
        <item x="18"/>
        <item x="40"/>
        <item x="14"/>
        <item x="100"/>
        <item x="64"/>
        <item x="49"/>
        <item x="99"/>
        <item x="62"/>
        <item x="53"/>
        <item x="42"/>
        <item x="89"/>
        <item x="67"/>
        <item x="91"/>
        <item x="58"/>
        <item x="79"/>
        <item x="76"/>
        <item x="61"/>
        <item x="106"/>
        <item x="94"/>
        <item x="74"/>
        <item x="96"/>
        <item x="50"/>
        <item x="55"/>
        <item x="72"/>
        <item x="105"/>
        <item x="101"/>
        <item x="26"/>
        <item x="68"/>
        <item x="59"/>
        <item x="32"/>
        <item x="35"/>
        <item x="87"/>
        <item x="104"/>
        <item x="31"/>
        <item x="69"/>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autoSortScope>
        <pivotArea dataOnly="0" outline="0" fieldPosition="0">
          <references count="1">
            <reference field="4294967294" count="1" selected="0">
              <x v="0"/>
            </reference>
          </references>
        </pivotArea>
      </autoSortScope>
    </pivotField>
    <pivotField numFmtId="8" showAll="0">
      <items count="11">
        <item x="0"/>
        <item x="1"/>
        <item x="2"/>
        <item x="3"/>
        <item x="4"/>
        <item x="5"/>
        <item x="6"/>
        <item x="7"/>
        <item x="8"/>
        <item x="9"/>
        <item t="default"/>
      </items>
    </pivotField>
    <pivotField numFmtId="8" showAll="0"/>
    <pivotField dataField="1" numFmtId="10" showAll="0"/>
    <pivotField showAll="0">
      <items count="4">
        <item x="2"/>
        <item x="1"/>
        <item x="0"/>
        <item t="default"/>
      </items>
    </pivotField>
    <pivotField showAll="0"/>
    <pivotField showAll="0"/>
    <pivotField showAll="0">
      <items count="4">
        <item x="1"/>
        <item x="0"/>
        <item x="2"/>
        <item t="default"/>
      </items>
    </pivotField>
    <pivotField showAll="0"/>
  </pivotFields>
  <rowFields count="1">
    <field x="0"/>
  </rowFields>
  <rowItems count="11">
    <i>
      <x v="31"/>
    </i>
    <i>
      <x v="30"/>
    </i>
    <i>
      <x v="53"/>
    </i>
    <i>
      <x v="70"/>
    </i>
    <i>
      <x v="67"/>
    </i>
    <i>
      <x v="84"/>
    </i>
    <i>
      <x v="20"/>
    </i>
    <i>
      <x v="52"/>
    </i>
    <i>
      <x v="64"/>
    </i>
    <i>
      <x v="60"/>
    </i>
    <i t="grand">
      <x/>
    </i>
  </rowItems>
  <colItems count="1">
    <i/>
  </colItems>
  <dataFields count="1">
    <dataField name="Average of Discount" fld="3" subtotal="average" baseField="0" baseItem="0" numFmtId="1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696AB5-2748-40DD-87B4-21E2785DA73C}"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8" firstHeaderRow="1" firstDataRow="1" firstDataCol="1"/>
  <pivotFields count="9">
    <pivotField showAll="0"/>
    <pivotField numFmtId="8" showAll="0">
      <items count="11">
        <item x="0"/>
        <item x="1"/>
        <item x="2"/>
        <item x="3"/>
        <item x="4"/>
        <item x="5"/>
        <item x="6"/>
        <item x="7"/>
        <item x="8"/>
        <item x="9"/>
        <item t="default"/>
      </items>
    </pivotField>
    <pivotField numFmtId="8" showAll="0"/>
    <pivotField dataField="1" numFmtId="10" showAll="0"/>
    <pivotField showAll="0">
      <items count="4">
        <item x="2"/>
        <item x="1"/>
        <item x="0"/>
        <item t="default"/>
      </items>
    </pivotField>
    <pivotField showAll="0"/>
    <pivotField showAll="0"/>
    <pivotField showAll="0">
      <items count="4">
        <item x="1"/>
        <item x="0"/>
        <item x="2"/>
        <item t="default"/>
      </items>
    </pivotField>
    <pivotField axis="axisRow" showAll="0">
      <items count="25">
        <item x="2"/>
        <item x="1"/>
        <item x="14"/>
        <item x="10"/>
        <item x="0"/>
        <item x="7"/>
        <item x="9"/>
        <item x="13"/>
        <item x="19"/>
        <item x="4"/>
        <item x="8"/>
        <item x="15"/>
        <item x="3"/>
        <item x="16"/>
        <item x="23"/>
        <item x="12"/>
        <item x="6"/>
        <item x="11"/>
        <item x="22"/>
        <item x="18"/>
        <item x="17"/>
        <item x="21"/>
        <item x="5"/>
        <item x="20"/>
        <item t="default"/>
      </items>
    </pivotField>
  </pivotFields>
  <rowFields count="1">
    <field x="8"/>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Discount" fld="3" subtotal="average" baseField="8" baseItem="0" numFmtId="1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4043D6-FDDD-4E64-86BE-C21302D65E8F}" name="PivotTable1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7" firstHeaderRow="1" firstDataRow="1" firstDataCol="1"/>
  <pivotFields count="9">
    <pivotField showAll="0"/>
    <pivotField numFmtId="8" showAll="0">
      <items count="11">
        <item x="0"/>
        <item x="1"/>
        <item x="2"/>
        <item x="3"/>
        <item x="4"/>
        <item x="5"/>
        <item x="6"/>
        <item x="7"/>
        <item x="8"/>
        <item x="9"/>
        <item t="default"/>
      </items>
    </pivotField>
    <pivotField numFmtId="8" showAll="0"/>
    <pivotField numFmtId="10" showAll="0"/>
    <pivotField showAll="0">
      <items count="4">
        <item x="2"/>
        <item x="1"/>
        <item x="0"/>
        <item t="default"/>
      </items>
    </pivotField>
    <pivotField showAll="0"/>
    <pivotField axis="axisRow" showAll="0" sortType="descending">
      <items count="24">
        <item x="18"/>
        <item x="7"/>
        <item x="17"/>
        <item x="16"/>
        <item x="6"/>
        <item x="20"/>
        <item x="21"/>
        <item x="19"/>
        <item x="15"/>
        <item x="0"/>
        <item x="22"/>
        <item x="5"/>
        <item x="2"/>
        <item x="3"/>
        <item x="11"/>
        <item x="13"/>
        <item x="8"/>
        <item x="14"/>
        <item x="9"/>
        <item x="4"/>
        <item x="10"/>
        <item x="12"/>
        <item x="1"/>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dataField="1" showAll="0"/>
  </pivotFields>
  <rowFields count="1">
    <field x="6"/>
  </rowFields>
  <rowItems count="24">
    <i>
      <x v="19"/>
    </i>
    <i>
      <x v="20"/>
    </i>
    <i>
      <x v="7"/>
    </i>
    <i>
      <x v="16"/>
    </i>
    <i>
      <x v="14"/>
    </i>
    <i>
      <x v="18"/>
    </i>
    <i>
      <x v="11"/>
    </i>
    <i>
      <x v="9"/>
    </i>
    <i>
      <x v="13"/>
    </i>
    <i>
      <x v="21"/>
    </i>
    <i>
      <x v="1"/>
    </i>
    <i>
      <x v="5"/>
    </i>
    <i>
      <x v="8"/>
    </i>
    <i>
      <x v="6"/>
    </i>
    <i>
      <x v="17"/>
    </i>
    <i>
      <x v="3"/>
    </i>
    <i>
      <x v="10"/>
    </i>
    <i>
      <x v="22"/>
    </i>
    <i>
      <x v="2"/>
    </i>
    <i>
      <x v="15"/>
    </i>
    <i>
      <x v="4"/>
    </i>
    <i>
      <x/>
    </i>
    <i>
      <x v="12"/>
    </i>
    <i t="grand">
      <x/>
    </i>
  </rowItems>
  <colItems count="1">
    <i/>
  </colItems>
  <dataFields count="1">
    <dataField name="Sum of New Review"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680FD5-7E31-4887-8680-38CE4CF1FA47}"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9">
    <pivotField dataField="1" showAll="0">
      <items count="110">
        <item x="22"/>
        <item x="57"/>
        <item x="63"/>
        <item x="43"/>
        <item x="60"/>
        <item x="86"/>
        <item x="6"/>
        <item x="33"/>
        <item x="8"/>
        <item x="102"/>
        <item x="28"/>
        <item x="3"/>
        <item x="19"/>
        <item x="47"/>
        <item x="48"/>
        <item x="71"/>
        <item x="0"/>
        <item x="54"/>
        <item x="56"/>
        <item x="73"/>
        <item x="108"/>
        <item x="97"/>
        <item x="77"/>
        <item x="83"/>
        <item x="20"/>
        <item x="12"/>
        <item x="24"/>
        <item x="17"/>
        <item x="18"/>
        <item x="40"/>
        <item x="14"/>
        <item x="100"/>
        <item x="64"/>
        <item x="49"/>
        <item x="99"/>
        <item x="62"/>
        <item x="53"/>
        <item x="42"/>
        <item x="89"/>
        <item x="67"/>
        <item x="91"/>
        <item x="58"/>
        <item x="79"/>
        <item x="76"/>
        <item x="61"/>
        <item x="106"/>
        <item x="94"/>
        <item x="74"/>
        <item x="96"/>
        <item x="50"/>
        <item x="55"/>
        <item x="72"/>
        <item x="105"/>
        <item x="101"/>
        <item x="26"/>
        <item x="68"/>
        <item x="59"/>
        <item x="32"/>
        <item x="35"/>
        <item x="87"/>
        <item x="104"/>
        <item x="31"/>
        <item x="69"/>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pivotField>
    <pivotField numFmtId="8" showAll="0">
      <items count="11">
        <item x="0"/>
        <item x="1"/>
        <item x="2"/>
        <item x="3"/>
        <item x="4"/>
        <item x="5"/>
        <item x="6"/>
        <item x="7"/>
        <item x="8"/>
        <item x="9"/>
        <item t="default"/>
      </items>
    </pivotField>
    <pivotField numFmtId="8" showAll="0"/>
    <pivotField numFmtId="10" showAll="0"/>
    <pivotField showAll="0">
      <items count="4">
        <item x="2"/>
        <item x="1"/>
        <item x="0"/>
        <item t="default"/>
      </items>
    </pivotField>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s>
  <rowFields count="1">
    <field x="7"/>
  </rowFields>
  <rowItems count="4">
    <i>
      <x v="1"/>
    </i>
    <i>
      <x/>
    </i>
    <i>
      <x v="2"/>
    </i>
    <i t="grand">
      <x/>
    </i>
  </rowItems>
  <colItems count="1">
    <i/>
  </colItems>
  <dataFields count="1">
    <dataField name="Count of Product" fld="0" subtotal="count" baseField="0"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8" format="6" series="1">
      <pivotArea type="data" outline="0" fieldPosition="0">
        <references count="2">
          <reference field="4294967294" count="1" selected="0">
            <x v="0"/>
          </reference>
          <reference field="7" count="1" selected="0">
            <x v="0"/>
          </reference>
        </references>
      </pivotArea>
    </chartFormat>
    <chartFormat chart="8" format="7" series="1">
      <pivotArea type="data" outline="0" fieldPosition="0">
        <references count="2">
          <reference field="4294967294" count="1" selected="0">
            <x v="0"/>
          </reference>
          <reference field="7" count="1" selected="0">
            <x v="1"/>
          </reference>
        </references>
      </pivotArea>
    </chartFormat>
    <chartFormat chart="8" format="8" series="1">
      <pivotArea type="data" outline="0" fieldPosition="0">
        <references count="2">
          <reference field="4294967294" count="1" selected="0">
            <x v="0"/>
          </reference>
          <reference field="7" count="1" selected="0">
            <x v="2"/>
          </reference>
        </references>
      </pivotArea>
    </chartFormat>
    <chartFormat chart="8"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50FB7F-8628-4CB8-B8AA-C27BE4FBCFC8}"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9">
    <pivotField dataField="1" showAll="0">
      <items count="110">
        <item x="22"/>
        <item x="57"/>
        <item x="63"/>
        <item x="43"/>
        <item x="60"/>
        <item x="86"/>
        <item x="6"/>
        <item x="33"/>
        <item x="8"/>
        <item x="102"/>
        <item x="28"/>
        <item x="3"/>
        <item x="19"/>
        <item x="47"/>
        <item x="48"/>
        <item x="71"/>
        <item x="0"/>
        <item x="54"/>
        <item x="56"/>
        <item x="73"/>
        <item x="108"/>
        <item x="97"/>
        <item x="77"/>
        <item x="83"/>
        <item x="20"/>
        <item x="12"/>
        <item x="24"/>
        <item x="17"/>
        <item x="18"/>
        <item x="40"/>
        <item x="14"/>
        <item x="100"/>
        <item x="64"/>
        <item x="49"/>
        <item x="99"/>
        <item x="62"/>
        <item x="53"/>
        <item x="42"/>
        <item x="89"/>
        <item x="67"/>
        <item x="91"/>
        <item x="58"/>
        <item x="79"/>
        <item x="76"/>
        <item x="61"/>
        <item x="106"/>
        <item x="94"/>
        <item x="74"/>
        <item x="96"/>
        <item x="50"/>
        <item x="55"/>
        <item x="72"/>
        <item x="105"/>
        <item x="101"/>
        <item x="26"/>
        <item x="68"/>
        <item x="59"/>
        <item x="32"/>
        <item x="35"/>
        <item x="87"/>
        <item x="104"/>
        <item x="31"/>
        <item x="69"/>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pivotField>
    <pivotField numFmtId="8" showAll="0">
      <items count="11">
        <item x="0"/>
        <item x="1"/>
        <item x="2"/>
        <item x="3"/>
        <item x="4"/>
        <item x="5"/>
        <item x="6"/>
        <item x="7"/>
        <item x="8"/>
        <item x="9"/>
        <item t="default"/>
      </items>
    </pivotField>
    <pivotField numFmtId="8" showAll="0"/>
    <pivotField numFmtId="10"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0"/>
        <item x="2"/>
        <item t="default"/>
      </items>
    </pivotField>
    <pivotField showAll="0"/>
  </pivotFields>
  <rowFields count="1">
    <field x="4"/>
  </rowFields>
  <rowItems count="4">
    <i>
      <x/>
    </i>
    <i>
      <x v="2"/>
    </i>
    <i>
      <x v="1"/>
    </i>
    <i t="grand">
      <x/>
    </i>
  </rowItems>
  <colItems count="1">
    <i/>
  </colItems>
  <dataFields count="1">
    <dataField name="Count of Product" fld="0" subtotal="count" baseField="0" baseItem="0"/>
  </dataFields>
  <chartFormats count="5">
    <chartFormat chart="0"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4" count="1" selected="0">
            <x v="0"/>
          </reference>
        </references>
      </pivotArea>
    </chartFormat>
    <chartFormat chart="11" format="7">
      <pivotArea type="data" outline="0" fieldPosition="0">
        <references count="2">
          <reference field="4294967294" count="1" selected="0">
            <x v="0"/>
          </reference>
          <reference field="4" count="1" selected="0">
            <x v="2"/>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0D4603-45E8-4C57-9883-3C115B12627D}"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9">
    <pivotField dataField="1" showAll="0">
      <items count="110">
        <item x="22"/>
        <item x="57"/>
        <item x="63"/>
        <item x="43"/>
        <item x="60"/>
        <item x="86"/>
        <item x="6"/>
        <item x="33"/>
        <item x="8"/>
        <item x="102"/>
        <item x="28"/>
        <item x="3"/>
        <item x="19"/>
        <item x="47"/>
        <item x="48"/>
        <item x="71"/>
        <item x="0"/>
        <item x="54"/>
        <item x="56"/>
        <item x="73"/>
        <item x="108"/>
        <item x="97"/>
        <item x="77"/>
        <item x="83"/>
        <item x="20"/>
        <item x="12"/>
        <item x="24"/>
        <item x="17"/>
        <item x="18"/>
        <item x="40"/>
        <item x="14"/>
        <item x="100"/>
        <item x="64"/>
        <item x="49"/>
        <item x="99"/>
        <item x="62"/>
        <item x="53"/>
        <item x="42"/>
        <item x="89"/>
        <item x="67"/>
        <item x="91"/>
        <item x="58"/>
        <item x="79"/>
        <item x="76"/>
        <item x="61"/>
        <item x="106"/>
        <item x="94"/>
        <item x="74"/>
        <item x="96"/>
        <item x="50"/>
        <item x="55"/>
        <item x="72"/>
        <item x="105"/>
        <item x="101"/>
        <item x="26"/>
        <item x="68"/>
        <item x="59"/>
        <item x="32"/>
        <item x="35"/>
        <item x="87"/>
        <item x="104"/>
        <item x="31"/>
        <item x="69"/>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pivotField>
    <pivotField axis="axisRow" numFmtId="8" showAll="0" sortType="ascending">
      <items count="11">
        <item x="0"/>
        <item x="9"/>
        <item x="1"/>
        <item x="3"/>
        <item x="4"/>
        <item x="5"/>
        <item x="6"/>
        <item x="7"/>
        <item x="8"/>
        <item x="2"/>
        <item t="default"/>
      </items>
    </pivotField>
    <pivotField numFmtId="8" showAll="0"/>
    <pivotField numFmtId="10" showAll="0"/>
    <pivotField showAll="0"/>
    <pivotField showAll="0"/>
    <pivotField showAll="0"/>
    <pivotField showAll="0"/>
    <pivotField showAll="0"/>
  </pivotFields>
  <rowFields count="1">
    <field x="1"/>
  </rowFields>
  <rowItems count="8">
    <i>
      <x v="2"/>
    </i>
    <i>
      <x v="3"/>
    </i>
    <i>
      <x v="4"/>
    </i>
    <i>
      <x v="5"/>
    </i>
    <i>
      <x v="6"/>
    </i>
    <i>
      <x v="8"/>
    </i>
    <i>
      <x v="9"/>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75C57B-2048-4FFE-9146-0ABF143DA2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9" firstHeaderRow="1" firstDataRow="1" firstDataCol="1"/>
  <pivotFields count="9">
    <pivotField showAll="0"/>
    <pivotField numFmtId="8" showAll="0"/>
    <pivotField numFmtId="8" showAll="0"/>
    <pivotField axis="axisRow" numFmtId="10" showAll="0" avgSubtotal="1">
      <items count="106">
        <item x="19"/>
        <item x="13"/>
        <item x="23"/>
        <item x="28"/>
        <item x="29"/>
        <item x="30"/>
        <item x="39"/>
        <item x="41"/>
        <item x="26"/>
        <item x="2"/>
        <item x="36"/>
        <item x="3"/>
        <item x="67"/>
        <item x="12"/>
        <item x="37"/>
        <item x="38"/>
        <item x="5"/>
        <item x="4"/>
        <item x="66"/>
        <item x="1"/>
        <item x="46"/>
        <item x="92"/>
        <item x="31"/>
        <item x="8"/>
        <item x="98"/>
        <item x="11"/>
        <item x="25"/>
        <item x="6"/>
        <item x="17"/>
        <item x="18"/>
        <item x="9"/>
        <item x="24"/>
        <item x="43"/>
        <item x="27"/>
        <item x="22"/>
        <item x="51"/>
        <item x="55"/>
        <item x="58"/>
        <item x="49"/>
        <item x="63"/>
        <item x="83"/>
        <item x="40"/>
        <item x="34"/>
        <item x="57"/>
        <item x="61"/>
        <item x="48"/>
        <item x="7"/>
        <item x="0"/>
        <item x="32"/>
        <item x="65"/>
        <item x="85"/>
        <item x="42"/>
        <item x="79"/>
        <item x="20"/>
        <item x="52"/>
        <item x="74"/>
        <item x="70"/>
        <item x="87"/>
        <item x="73"/>
        <item x="78"/>
        <item x="80"/>
        <item x="33"/>
        <item x="56"/>
        <item x="86"/>
        <item x="99"/>
        <item x="50"/>
        <item x="10"/>
        <item x="60"/>
        <item x="75"/>
        <item x="68"/>
        <item x="62"/>
        <item x="103"/>
        <item x="76"/>
        <item x="35"/>
        <item x="104"/>
        <item x="21"/>
        <item x="69"/>
        <item x="44"/>
        <item x="95"/>
        <item x="94"/>
        <item x="93"/>
        <item x="77"/>
        <item x="101"/>
        <item x="72"/>
        <item x="89"/>
        <item x="16"/>
        <item x="59"/>
        <item x="64"/>
        <item x="71"/>
        <item x="82"/>
        <item x="54"/>
        <item x="47"/>
        <item x="53"/>
        <item x="91"/>
        <item x="88"/>
        <item x="100"/>
        <item x="90"/>
        <item x="102"/>
        <item x="81"/>
        <item x="15"/>
        <item x="45"/>
        <item x="14"/>
        <item x="84"/>
        <item x="97"/>
        <item x="96"/>
        <item t="avg"/>
      </items>
    </pivotField>
    <pivotField showAll="0"/>
    <pivotField showAll="0"/>
    <pivotField showAll="0"/>
    <pivotField showAll="0"/>
    <pivotField dataField="1" showAll="0">
      <items count="25">
        <item x="2"/>
        <item x="1"/>
        <item x="14"/>
        <item x="10"/>
        <item x="0"/>
        <item x="7"/>
        <item x="9"/>
        <item x="13"/>
        <item x="19"/>
        <item x="4"/>
        <item x="8"/>
        <item x="15"/>
        <item x="3"/>
        <item x="16"/>
        <item x="23"/>
        <item x="12"/>
        <item x="6"/>
        <item x="11"/>
        <item x="22"/>
        <item x="18"/>
        <item x="17"/>
        <item x="21"/>
        <item x="5"/>
        <item x="20"/>
        <item t="default"/>
      </items>
    </pivotField>
  </pivotFields>
  <rowFields count="1">
    <field x="3"/>
  </rowFields>
  <rowItems count="1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t="grand">
      <x/>
    </i>
  </rowItems>
  <colItems count="1">
    <i/>
  </colItems>
  <dataFields count="1">
    <dataField name="Average of New Review" fld="8" subtotal="average" baseField="3" baseItem="0"/>
  </dataFields>
  <chartFormats count="1">
    <chartFormat chart="6" format="4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C25634-146E-40A6-BAF1-A4DF795AE6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7" firstHeaderRow="1" firstDataRow="1" firstDataCol="1"/>
  <pivotFields count="9">
    <pivotField showAll="0"/>
    <pivotField numFmtId="8" showAll="0"/>
    <pivotField numFmtId="8" showAll="0"/>
    <pivotField numFmtId="10" showAll="0"/>
    <pivotField showAll="0"/>
    <pivotField showAll="0"/>
    <pivotField axis="axisRow" showAll="0">
      <items count="24">
        <item x="18"/>
        <item x="7"/>
        <item x="17"/>
        <item x="16"/>
        <item x="6"/>
        <item x="20"/>
        <item x="21"/>
        <item x="19"/>
        <item x="15"/>
        <item x="0"/>
        <item x="22"/>
        <item x="5"/>
        <item x="2"/>
        <item x="3"/>
        <item x="11"/>
        <item x="13"/>
        <item x="8"/>
        <item x="14"/>
        <item x="9"/>
        <item x="4"/>
        <item x="10"/>
        <item x="12"/>
        <item x="1"/>
        <item t="default"/>
      </items>
    </pivotField>
    <pivotField showAll="0"/>
    <pivotField dataField="1" showAll="0"/>
  </pivotFields>
  <rowFields count="1">
    <field x="6"/>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New Review" fld="8"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C07ABA-9502-41FB-8922-A0877D588DD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evels">
  <location ref="A3:C83" firstHeaderRow="0" firstDataRow="1" firstDataCol="1"/>
  <pivotFields count="9">
    <pivotField axis="axisRow" showAll="0">
      <items count="110">
        <item x="22"/>
        <item x="57"/>
        <item x="63"/>
        <item x="43"/>
        <item x="60"/>
        <item x="86"/>
        <item x="6"/>
        <item x="33"/>
        <item x="8"/>
        <item x="102"/>
        <item x="28"/>
        <item x="3"/>
        <item x="19"/>
        <item x="47"/>
        <item x="48"/>
        <item x="71"/>
        <item x="0"/>
        <item x="54"/>
        <item x="56"/>
        <item x="73"/>
        <item x="108"/>
        <item x="97"/>
        <item x="77"/>
        <item x="83"/>
        <item x="20"/>
        <item x="12"/>
        <item x="24"/>
        <item x="17"/>
        <item x="18"/>
        <item x="40"/>
        <item x="14"/>
        <item x="100"/>
        <item x="64"/>
        <item x="49"/>
        <item x="99"/>
        <item x="62"/>
        <item x="53"/>
        <item x="42"/>
        <item x="89"/>
        <item x="67"/>
        <item x="91"/>
        <item x="58"/>
        <item x="79"/>
        <item x="76"/>
        <item x="61"/>
        <item x="106"/>
        <item x="94"/>
        <item x="74"/>
        <item x="96"/>
        <item x="50"/>
        <item x="55"/>
        <item x="72"/>
        <item x="105"/>
        <item x="101"/>
        <item x="26"/>
        <item x="68"/>
        <item x="59"/>
        <item x="32"/>
        <item x="35"/>
        <item x="87"/>
        <item x="104"/>
        <item x="31"/>
        <item x="69"/>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pivotField>
    <pivotField numFmtId="8" showAll="0"/>
    <pivotField numFmtId="8" showAll="0"/>
    <pivotField numFmtId="10" showAll="0"/>
    <pivotField axis="axisRow" showAll="0">
      <items count="4">
        <item x="2"/>
        <item x="1"/>
        <item h="1" x="0"/>
        <item t="default"/>
      </items>
    </pivotField>
    <pivotField showAll="0"/>
    <pivotField dataField="1" showAll="0"/>
    <pivotField showAll="0"/>
    <pivotField dataField="1" showAll="0"/>
  </pivotFields>
  <rowFields count="2">
    <field x="4"/>
    <field x="0"/>
  </rowFields>
  <rowItems count="80">
    <i>
      <x/>
    </i>
    <i r="1">
      <x v="5"/>
    </i>
    <i r="1">
      <x v="7"/>
    </i>
    <i r="1">
      <x v="13"/>
    </i>
    <i r="1">
      <x v="15"/>
    </i>
    <i r="1">
      <x v="17"/>
    </i>
    <i r="1">
      <x v="18"/>
    </i>
    <i r="1">
      <x v="19"/>
    </i>
    <i r="1">
      <x v="20"/>
    </i>
    <i r="1">
      <x v="21"/>
    </i>
    <i r="1">
      <x v="22"/>
    </i>
    <i r="1">
      <x v="23"/>
    </i>
    <i r="1">
      <x v="24"/>
    </i>
    <i r="1">
      <x v="30"/>
    </i>
    <i r="1">
      <x v="31"/>
    </i>
    <i r="1">
      <x v="32"/>
    </i>
    <i r="1">
      <x v="34"/>
    </i>
    <i r="1">
      <x v="35"/>
    </i>
    <i r="1">
      <x v="36"/>
    </i>
    <i r="1">
      <x v="37"/>
    </i>
    <i r="1">
      <x v="38"/>
    </i>
    <i r="1">
      <x v="39"/>
    </i>
    <i r="1">
      <x v="40"/>
    </i>
    <i r="1">
      <x v="41"/>
    </i>
    <i r="1">
      <x v="42"/>
    </i>
    <i r="1">
      <x v="43"/>
    </i>
    <i r="1">
      <x v="44"/>
    </i>
    <i r="1">
      <x v="45"/>
    </i>
    <i r="1">
      <x v="46"/>
    </i>
    <i r="1">
      <x v="47"/>
    </i>
    <i r="1">
      <x v="48"/>
    </i>
    <i r="1">
      <x v="50"/>
    </i>
    <i r="1">
      <x v="51"/>
    </i>
    <i r="1">
      <x v="52"/>
    </i>
    <i r="1">
      <x v="53"/>
    </i>
    <i r="1">
      <x v="55"/>
    </i>
    <i r="1">
      <x v="58"/>
    </i>
    <i r="1">
      <x v="60"/>
    </i>
    <i r="1">
      <x v="63"/>
    </i>
    <i r="1">
      <x v="64"/>
    </i>
    <i r="1">
      <x v="67"/>
    </i>
    <i r="1">
      <x v="68"/>
    </i>
    <i r="1">
      <x v="69"/>
    </i>
    <i r="1">
      <x v="70"/>
    </i>
    <i r="1">
      <x v="72"/>
    </i>
    <i r="1">
      <x v="76"/>
    </i>
    <i r="1">
      <x v="77"/>
    </i>
    <i r="1">
      <x v="79"/>
    </i>
    <i r="1">
      <x v="81"/>
    </i>
    <i r="1">
      <x v="82"/>
    </i>
    <i r="1">
      <x v="84"/>
    </i>
    <i r="1">
      <x v="87"/>
    </i>
    <i r="1">
      <x v="94"/>
    </i>
    <i r="1">
      <x v="95"/>
    </i>
    <i r="1">
      <x v="96"/>
    </i>
    <i r="1">
      <x v="99"/>
    </i>
    <i r="1">
      <x v="102"/>
    </i>
    <i r="1">
      <x v="104"/>
    </i>
    <i r="1">
      <x v="106"/>
    </i>
    <i r="1">
      <x v="108"/>
    </i>
    <i>
      <x v="1"/>
    </i>
    <i r="1">
      <x v="10"/>
    </i>
    <i r="1">
      <x v="11"/>
    </i>
    <i r="1">
      <x v="12"/>
    </i>
    <i r="1">
      <x v="25"/>
    </i>
    <i r="1">
      <x v="54"/>
    </i>
    <i r="1">
      <x v="75"/>
    </i>
    <i r="1">
      <x v="78"/>
    </i>
    <i r="1">
      <x v="83"/>
    </i>
    <i r="1">
      <x v="85"/>
    </i>
    <i r="1">
      <x v="86"/>
    </i>
    <i r="1">
      <x v="88"/>
    </i>
    <i r="1">
      <x v="92"/>
    </i>
    <i r="1">
      <x v="93"/>
    </i>
    <i r="1">
      <x v="97"/>
    </i>
    <i r="1">
      <x v="98"/>
    </i>
    <i r="1">
      <x v="100"/>
    </i>
    <i r="1">
      <x v="103"/>
    </i>
    <i r="1">
      <x v="105"/>
    </i>
    <i t="grand">
      <x/>
    </i>
  </rowItems>
  <colFields count="1">
    <field x="-2"/>
  </colFields>
  <colItems count="2">
    <i>
      <x/>
    </i>
    <i i="1">
      <x v="1"/>
    </i>
  </colItems>
  <dataFields count="2">
    <dataField name="Sum of New Review" fld="8" baseField="0" baseItem="0"/>
    <dataField name="Average of Rating(Out of 5)" fld="6"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E29771-5BFD-4460-ABAA-35324FCC41A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9">
    <pivotField dataField="1" showAll="0">
      <items count="110">
        <item x="22"/>
        <item x="57"/>
        <item x="63"/>
        <item x="43"/>
        <item x="60"/>
        <item x="86"/>
        <item x="6"/>
        <item x="33"/>
        <item x="8"/>
        <item x="102"/>
        <item x="28"/>
        <item x="3"/>
        <item x="19"/>
        <item x="47"/>
        <item x="48"/>
        <item x="71"/>
        <item x="0"/>
        <item x="54"/>
        <item x="56"/>
        <item x="73"/>
        <item x="108"/>
        <item x="97"/>
        <item x="77"/>
        <item x="83"/>
        <item x="20"/>
        <item x="12"/>
        <item x="24"/>
        <item x="17"/>
        <item x="18"/>
        <item x="40"/>
        <item x="14"/>
        <item x="100"/>
        <item x="64"/>
        <item x="49"/>
        <item x="99"/>
        <item x="62"/>
        <item x="53"/>
        <item x="42"/>
        <item x="89"/>
        <item x="67"/>
        <item x="91"/>
        <item x="58"/>
        <item x="79"/>
        <item x="76"/>
        <item x="61"/>
        <item x="106"/>
        <item x="94"/>
        <item x="74"/>
        <item x="96"/>
        <item x="50"/>
        <item x="55"/>
        <item x="72"/>
        <item x="105"/>
        <item x="101"/>
        <item x="26"/>
        <item x="68"/>
        <item x="59"/>
        <item x="32"/>
        <item x="35"/>
        <item x="87"/>
        <item x="104"/>
        <item x="31"/>
        <item x="69"/>
        <item x="92"/>
        <item x="93"/>
        <item x="1"/>
        <item x="9"/>
        <item x="15"/>
        <item x="16"/>
        <item x="81"/>
        <item x="45"/>
        <item x="7"/>
        <item x="21"/>
        <item x="65"/>
        <item x="52"/>
        <item x="4"/>
        <item x="51"/>
        <item x="78"/>
        <item x="2"/>
        <item x="98"/>
        <item x="27"/>
        <item x="75"/>
        <item x="10"/>
        <item x="41"/>
        <item x="84"/>
        <item x="38"/>
        <item x="70"/>
        <item x="103"/>
        <item x="29"/>
        <item x="95"/>
        <item x="25"/>
        <item x="11"/>
        <item x="39"/>
        <item x="5"/>
        <item x="44"/>
        <item x="88"/>
        <item x="107"/>
        <item x="13"/>
        <item x="30"/>
        <item x="82"/>
        <item x="23"/>
        <item x="46"/>
        <item x="66"/>
        <item x="36"/>
        <item x="85"/>
        <item x="37"/>
        <item x="90"/>
        <item x="34"/>
        <item x="80"/>
        <item t="default"/>
      </items>
    </pivotField>
    <pivotField numFmtId="8" showAll="0"/>
    <pivotField numFmtId="8" showAll="0"/>
    <pivotField numFmtId="10" showAll="0"/>
    <pivotField showAll="0"/>
    <pivotField showAll="0"/>
    <pivotField showAll="0"/>
    <pivotField axis="axisRow" showAll="0">
      <items count="4">
        <item x="1"/>
        <item x="0"/>
        <item x="2"/>
        <item t="default"/>
      </items>
    </pivotField>
    <pivotField showAll="0"/>
  </pivotFields>
  <rowFields count="1">
    <field x="7"/>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9BFF93-3BBB-488C-82B9-DDB8F630F3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cscount Category">
  <location ref="A3:C7" firstHeaderRow="0" firstDataRow="1" firstDataCol="1"/>
  <pivotFields count="9">
    <pivotField showAll="0"/>
    <pivotField numFmtId="8" showAll="0"/>
    <pivotField numFmtId="8" showAll="0"/>
    <pivotField dataField="1" numFmtId="10" showAll="0"/>
    <pivotField axis="axisRow" showAll="0">
      <items count="4">
        <item x="2"/>
        <item x="1"/>
        <item x="0"/>
        <item t="default"/>
      </items>
    </pivotField>
    <pivotField showAll="0"/>
    <pivotField dataField="1" showAll="0"/>
    <pivotField showAll="0"/>
    <pivotField showAll="0"/>
  </pivotFields>
  <rowFields count="1">
    <field x="4"/>
  </rowFields>
  <rowItems count="4">
    <i>
      <x/>
    </i>
    <i>
      <x v="1"/>
    </i>
    <i>
      <x v="2"/>
    </i>
    <i t="grand">
      <x/>
    </i>
  </rowItems>
  <colFields count="1">
    <field x="-2"/>
  </colFields>
  <colItems count="2">
    <i>
      <x/>
    </i>
    <i i="1">
      <x v="1"/>
    </i>
  </colItems>
  <dataFields count="2">
    <dataField name="Average of Rating(Out of 5)" fld="6" subtotal="average" baseField="4" baseItem="0"/>
    <dataField name="Average of Discount" fld="3" subtotal="average" baseField="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BEB312A-D2C7-416C-9AA8-B1C7CF55FED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7" firstHeaderRow="1" firstDataRow="1" firstDataCol="1"/>
  <pivotFields count="9">
    <pivotField showAll="0"/>
    <pivotField numFmtId="8" showAll="0"/>
    <pivotField numFmtId="8" showAll="0"/>
    <pivotField numFmtId="10" showAll="0"/>
    <pivotField showAll="0"/>
    <pivotField showAll="0"/>
    <pivotField axis="axisRow" showAll="0">
      <items count="24">
        <item x="18"/>
        <item x="7"/>
        <item x="17"/>
        <item x="16"/>
        <item x="6"/>
        <item x="20"/>
        <item x="21"/>
        <item x="19"/>
        <item x="15"/>
        <item x="0"/>
        <item x="22"/>
        <item x="5"/>
        <item x="2"/>
        <item x="3"/>
        <item x="11"/>
        <item x="13"/>
        <item x="8"/>
        <item x="14"/>
        <item x="9"/>
        <item x="4"/>
        <item x="10"/>
        <item x="12"/>
        <item x="1"/>
        <item t="default"/>
      </items>
    </pivotField>
    <pivotField showAll="0"/>
    <pivotField dataField="1" showAll="0"/>
  </pivotFields>
  <rowFields count="1">
    <field x="6"/>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New Review"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68647C22-FFF9-49A7-AD01-811B73D684CE}" sourceName="DISCOUNT CATEGORY">
  <pivotTables>
    <pivotTable tabId="20" name="PivotTable9"/>
    <pivotTable tabId="23" name="PivotTable1"/>
    <pivotTable tabId="22" name="PivotTable11"/>
    <pivotTable tabId="21" name="PivotTable10"/>
    <pivotTable tabId="24" name="PivotTable2"/>
    <pivotTable tabId="19" name="PivotTable8"/>
  </pivotTables>
  <data>
    <tabular pivotCacheId="51158546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AF98B23F-D367-479D-AB83-AED5A1A57CB6}" sourceName="Rating Category">
  <pivotTables>
    <pivotTable tabId="20" name="PivotTable9"/>
    <pivotTable tabId="23" name="PivotTable1"/>
    <pivotTable tabId="22" name="PivotTable11"/>
    <pivotTable tabId="21" name="PivotTable10"/>
    <pivotTable tabId="24" name="PivotTable2"/>
    <pivotTable tabId="19" name="PivotTable8"/>
  </pivotTables>
  <data>
    <tabular pivotCacheId="51158546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price" xr10:uid="{8FCE7BA8-466B-4521-AE95-51362F32A252}" sourceName="Current price">
  <pivotTables>
    <pivotTable tabId="25" name="PivotTable3"/>
    <pivotTable tabId="23" name="PivotTable1"/>
    <pivotTable tabId="22" name="PivotTable11"/>
    <pivotTable tabId="24" name="PivotTable2"/>
    <pivotTable tabId="21" name="PivotTable10"/>
    <pivotTable tabId="20" name="PivotTable9"/>
    <pivotTable tabId="19" name="PivotTable8"/>
  </pivotTables>
  <data>
    <tabular pivotCacheId="511585463" sortOrder="descending">
      <items count="10">
        <i x="2" s="1"/>
        <i x="8" s="1"/>
        <i x="6" s="1"/>
        <i x="5" s="1"/>
        <i x="4" s="1"/>
        <i x="3" s="1"/>
        <i x="1" s="1"/>
        <i x="7" s="1" nd="1"/>
        <i x="9"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FB33E659-90DC-4335-88CD-A4CE75AC94EB}" cache="Slicer_DISCOUNT_CATEGORY" caption="DISCOUNT CATEGORY" style="SlicerStyleLight4" rowHeight="241300"/>
  <slicer name="Rating Category 1" xr10:uid="{12D57292-7FFF-4DED-B088-CD596B6A60B2}" cache="Slicer_Rating_Category" caption="Rating Category" style="SlicerStyleLight4" rowHeight="241300"/>
  <slicer name="Current price 1" xr10:uid="{5893C4DB-8770-4489-9F7C-CDC1C9171243}" cache="Slicer_Current_price" caption="Current price"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CE0E4FF4-D77B-45DB-8CBE-D2BAAFA34703}" cache="Slicer_DISCOUNT_CATEGORY" caption="DISCOUNT CATEGORY" rowHeight="241300"/>
  <slicer name="Rating Category" xr10:uid="{4D7D2E8A-0C5E-4217-8E42-640B61FB991D}" cache="Slicer_Rating_Category" caption="Rating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 price" xr10:uid="{6CC6F3B9-887E-46BF-929C-29C3BED010CB}" cache="Slicer_Current_price" caption="Current pric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748CD-F12C-4122-B2ED-1F08D0F23766}">
  <sheetPr codeName="Sheet1">
    <tabColor theme="7" tint="0.39997558519241921"/>
  </sheetPr>
  <dimension ref="A1"/>
  <sheetViews>
    <sheetView tabSelected="1" topLeftCell="A2" zoomScale="62" zoomScaleNormal="62" workbookViewId="0">
      <selection activeCell="AE14" sqref="AE14"/>
    </sheetView>
  </sheetViews>
  <sheetFormatPr defaultRowHeight="14.5" x14ac:dyDescent="0.35"/>
  <cols>
    <col min="1" max="16384" width="8.7265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CB6D5-85DD-4A04-8483-85FEB7E953C1}">
  <sheetPr codeName="Sheet2"/>
  <dimension ref="A3:B14"/>
  <sheetViews>
    <sheetView workbookViewId="0">
      <selection activeCell="A22" sqref="A21:A22"/>
    </sheetView>
  </sheetViews>
  <sheetFormatPr defaultRowHeight="14.5" x14ac:dyDescent="0.35"/>
  <cols>
    <col min="1" max="1" width="64.453125" bestFit="1" customWidth="1"/>
    <col min="2" max="2" width="23.81640625" bestFit="1" customWidth="1"/>
  </cols>
  <sheetData>
    <row r="3" spans="1:2" x14ac:dyDescent="0.35">
      <c r="A3" s="7" t="s">
        <v>131</v>
      </c>
      <c r="B3" t="s">
        <v>133</v>
      </c>
    </row>
    <row r="4" spans="1:2" x14ac:dyDescent="0.35">
      <c r="A4" s="8" t="s">
        <v>125</v>
      </c>
      <c r="B4">
        <v>5</v>
      </c>
    </row>
    <row r="5" spans="1:2" x14ac:dyDescent="0.35">
      <c r="A5" s="8" t="s">
        <v>36</v>
      </c>
      <c r="B5">
        <v>5</v>
      </c>
    </row>
    <row r="6" spans="1:2" x14ac:dyDescent="0.35">
      <c r="A6" s="8" t="s">
        <v>16</v>
      </c>
      <c r="B6">
        <v>5</v>
      </c>
    </row>
    <row r="7" spans="1:2" x14ac:dyDescent="0.35">
      <c r="A7" s="8" t="s">
        <v>111</v>
      </c>
      <c r="B7">
        <v>5</v>
      </c>
    </row>
    <row r="8" spans="1:2" x14ac:dyDescent="0.35">
      <c r="A8" s="8" t="s">
        <v>123</v>
      </c>
      <c r="B8">
        <v>5</v>
      </c>
    </row>
    <row r="9" spans="1:2" x14ac:dyDescent="0.35">
      <c r="A9" s="8" t="s">
        <v>81</v>
      </c>
      <c r="B9">
        <v>5</v>
      </c>
    </row>
    <row r="10" spans="1:2" x14ac:dyDescent="0.35">
      <c r="A10" s="8" t="s">
        <v>52</v>
      </c>
      <c r="B10">
        <v>5</v>
      </c>
    </row>
    <row r="11" spans="1:2" x14ac:dyDescent="0.35">
      <c r="A11" s="8" t="s">
        <v>65</v>
      </c>
      <c r="B11">
        <v>4.8</v>
      </c>
    </row>
    <row r="12" spans="1:2" x14ac:dyDescent="0.35">
      <c r="A12" s="8" t="s">
        <v>45</v>
      </c>
      <c r="B12">
        <v>4.8</v>
      </c>
    </row>
    <row r="13" spans="1:2" x14ac:dyDescent="0.35">
      <c r="A13" s="8" t="s">
        <v>97</v>
      </c>
      <c r="B13">
        <v>4.8</v>
      </c>
    </row>
    <row r="14" spans="1:2" x14ac:dyDescent="0.35">
      <c r="A14" s="8" t="s">
        <v>132</v>
      </c>
      <c r="B14">
        <v>4.9399999999999995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EE91-10F0-419A-84B8-2E3D164C3A56}">
  <sheetPr codeName="Sheet3"/>
  <dimension ref="A3:B14"/>
  <sheetViews>
    <sheetView workbookViewId="0">
      <selection activeCell="G9" sqref="G9"/>
    </sheetView>
  </sheetViews>
  <sheetFormatPr defaultRowHeight="14.5" x14ac:dyDescent="0.35"/>
  <cols>
    <col min="1" max="1" width="61.453125" bestFit="1" customWidth="1"/>
    <col min="2" max="2" width="17.36328125" bestFit="1" customWidth="1"/>
  </cols>
  <sheetData>
    <row r="3" spans="1:2" x14ac:dyDescent="0.35">
      <c r="A3" s="7" t="s">
        <v>131</v>
      </c>
      <c r="B3" t="s">
        <v>137</v>
      </c>
    </row>
    <row r="4" spans="1:2" x14ac:dyDescent="0.35">
      <c r="A4" s="8" t="s">
        <v>106</v>
      </c>
      <c r="B4" s="13">
        <v>69</v>
      </c>
    </row>
    <row r="5" spans="1:2" x14ac:dyDescent="0.35">
      <c r="A5" s="8" t="s">
        <v>26</v>
      </c>
      <c r="B5" s="13">
        <v>55</v>
      </c>
    </row>
    <row r="6" spans="1:2" x14ac:dyDescent="0.35">
      <c r="A6" s="8" t="s">
        <v>107</v>
      </c>
      <c r="B6" s="13">
        <v>49</v>
      </c>
    </row>
    <row r="7" spans="1:2" x14ac:dyDescent="0.35">
      <c r="A7" s="8" t="s">
        <v>76</v>
      </c>
      <c r="B7" s="13">
        <v>44</v>
      </c>
    </row>
    <row r="8" spans="1:2" x14ac:dyDescent="0.35">
      <c r="A8" s="8" t="s">
        <v>77</v>
      </c>
      <c r="B8" s="13">
        <v>39</v>
      </c>
    </row>
    <row r="9" spans="1:2" x14ac:dyDescent="0.35">
      <c r="A9" s="8" t="s">
        <v>108</v>
      </c>
      <c r="B9" s="13">
        <v>36</v>
      </c>
    </row>
    <row r="10" spans="1:2" x14ac:dyDescent="0.35">
      <c r="A10" s="8" t="s">
        <v>37</v>
      </c>
      <c r="B10" s="13">
        <v>32</v>
      </c>
    </row>
    <row r="11" spans="1:2" x14ac:dyDescent="0.35">
      <c r="A11" s="8" t="s">
        <v>30</v>
      </c>
      <c r="B11" s="13">
        <v>24</v>
      </c>
    </row>
    <row r="12" spans="1:2" x14ac:dyDescent="0.35">
      <c r="A12" s="8" t="s">
        <v>38</v>
      </c>
      <c r="B12" s="13">
        <v>20</v>
      </c>
    </row>
    <row r="13" spans="1:2" x14ac:dyDescent="0.35">
      <c r="A13" s="8" t="s">
        <v>44</v>
      </c>
      <c r="B13" s="13">
        <v>20</v>
      </c>
    </row>
    <row r="14" spans="1:2" x14ac:dyDescent="0.35">
      <c r="A14" s="8" t="s">
        <v>132</v>
      </c>
      <c r="B14" s="13">
        <v>388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389C0-C328-485D-B415-C17B9F757675}">
  <sheetPr codeName="Sheet4"/>
  <dimension ref="A3:B14"/>
  <sheetViews>
    <sheetView topLeftCell="G2" workbookViewId="0">
      <selection activeCell="A16" sqref="A16"/>
    </sheetView>
  </sheetViews>
  <sheetFormatPr defaultRowHeight="14.5" x14ac:dyDescent="0.35"/>
  <cols>
    <col min="1" max="1" width="69.54296875" bestFit="1" customWidth="1"/>
    <col min="2" max="2" width="17.7265625" bestFit="1" customWidth="1"/>
  </cols>
  <sheetData>
    <row r="3" spans="1:2" x14ac:dyDescent="0.35">
      <c r="A3" s="7" t="s">
        <v>131</v>
      </c>
      <c r="B3" t="s">
        <v>134</v>
      </c>
    </row>
    <row r="4" spans="1:2" x14ac:dyDescent="0.35">
      <c r="A4" s="8" t="s">
        <v>120</v>
      </c>
      <c r="B4" s="2">
        <v>0.64014466546112114</v>
      </c>
    </row>
    <row r="5" spans="1:2" x14ac:dyDescent="0.35">
      <c r="A5" s="8" t="s">
        <v>34</v>
      </c>
      <c r="B5" s="2">
        <v>0.55000000000000004</v>
      </c>
    </row>
    <row r="6" spans="1:2" x14ac:dyDescent="0.35">
      <c r="A6" s="8" t="s">
        <v>121</v>
      </c>
      <c r="B6" s="2">
        <v>0.54750690131124913</v>
      </c>
    </row>
    <row r="7" spans="1:2" x14ac:dyDescent="0.35">
      <c r="A7" s="8" t="s">
        <v>65</v>
      </c>
      <c r="B7" s="2">
        <v>0.54500000000000004</v>
      </c>
    </row>
    <row r="8" spans="1:2" x14ac:dyDescent="0.35">
      <c r="A8" s="8" t="s">
        <v>35</v>
      </c>
      <c r="B8" s="2">
        <v>0.54488888888888887</v>
      </c>
    </row>
    <row r="9" spans="1:2" x14ac:dyDescent="0.35">
      <c r="A9" s="8" t="s">
        <v>104</v>
      </c>
      <c r="B9" s="2">
        <v>0.53549695740365111</v>
      </c>
    </row>
    <row r="10" spans="1:2" x14ac:dyDescent="0.35">
      <c r="A10" s="8" t="s">
        <v>128</v>
      </c>
      <c r="B10" s="2">
        <v>0.52500000000000002</v>
      </c>
    </row>
    <row r="11" spans="1:2" x14ac:dyDescent="0.35">
      <c r="A11" s="8" t="s">
        <v>125</v>
      </c>
      <c r="B11" s="2">
        <v>0.52500000000000002</v>
      </c>
    </row>
    <row r="12" spans="1:2" x14ac:dyDescent="0.35">
      <c r="A12" s="8" t="s">
        <v>113</v>
      </c>
      <c r="B12" s="2">
        <v>0.5220588235294118</v>
      </c>
    </row>
    <row r="13" spans="1:2" x14ac:dyDescent="0.35">
      <c r="A13" s="8" t="s">
        <v>124</v>
      </c>
      <c r="B13" s="2">
        <v>0.51570680628272247</v>
      </c>
    </row>
    <row r="14" spans="1:2" x14ac:dyDescent="0.35">
      <c r="A14" s="8" t="s">
        <v>132</v>
      </c>
      <c r="B14" s="2">
        <v>0.54530090401711762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7FB52-2B6C-4F97-8B13-11E60601F6B5}">
  <sheetPr codeName="Sheet5"/>
  <dimension ref="A3:B28"/>
  <sheetViews>
    <sheetView workbookViewId="0">
      <selection activeCell="A3" sqref="A3"/>
    </sheetView>
  </sheetViews>
  <sheetFormatPr defaultRowHeight="14.5" x14ac:dyDescent="0.35"/>
  <cols>
    <col min="1" max="1" width="12.36328125" bestFit="1" customWidth="1"/>
    <col min="2" max="2" width="17.7265625" bestFit="1" customWidth="1"/>
  </cols>
  <sheetData>
    <row r="3" spans="1:2" x14ac:dyDescent="0.35">
      <c r="A3" s="7" t="s">
        <v>131</v>
      </c>
      <c r="B3" t="s">
        <v>134</v>
      </c>
    </row>
    <row r="4" spans="1:2" x14ac:dyDescent="0.35">
      <c r="A4" s="8">
        <v>0</v>
      </c>
      <c r="B4" s="2">
        <v>0.34515064299323389</v>
      </c>
    </row>
    <row r="5" spans="1:2" x14ac:dyDescent="0.35">
      <c r="A5" s="8">
        <v>1</v>
      </c>
      <c r="B5" s="2">
        <v>0.42395882967278092</v>
      </c>
    </row>
    <row r="6" spans="1:2" x14ac:dyDescent="0.35">
      <c r="A6" s="8">
        <v>2</v>
      </c>
      <c r="B6" s="2">
        <v>0.43050321238987804</v>
      </c>
    </row>
    <row r="7" spans="1:2" x14ac:dyDescent="0.35">
      <c r="A7" s="8">
        <v>3</v>
      </c>
      <c r="B7" s="2">
        <v>0.49005288340468395</v>
      </c>
    </row>
    <row r="8" spans="1:2" x14ac:dyDescent="0.35">
      <c r="A8" s="8">
        <v>5</v>
      </c>
      <c r="B8" s="2">
        <v>0.36613240026038668</v>
      </c>
    </row>
    <row r="9" spans="1:2" x14ac:dyDescent="0.35">
      <c r="A9" s="8">
        <v>6</v>
      </c>
      <c r="B9" s="2">
        <v>0.37418628794712316</v>
      </c>
    </row>
    <row r="10" spans="1:2" x14ac:dyDescent="0.35">
      <c r="A10" s="8">
        <v>7</v>
      </c>
      <c r="B10" s="2">
        <v>0.47180022852514503</v>
      </c>
    </row>
    <row r="11" spans="1:2" x14ac:dyDescent="0.35">
      <c r="A11" s="8">
        <v>9</v>
      </c>
      <c r="B11" s="2">
        <v>0.44064930912433081</v>
      </c>
    </row>
    <row r="12" spans="1:2" x14ac:dyDescent="0.35">
      <c r="A12" s="8">
        <v>10</v>
      </c>
      <c r="B12" s="2">
        <v>0.53549695740365111</v>
      </c>
    </row>
    <row r="13" spans="1:2" x14ac:dyDescent="0.35">
      <c r="A13" s="8">
        <v>12</v>
      </c>
      <c r="B13" s="2">
        <v>0.29774173196991993</v>
      </c>
    </row>
    <row r="14" spans="1:2" x14ac:dyDescent="0.35">
      <c r="A14" s="8">
        <v>13</v>
      </c>
      <c r="B14" s="2">
        <v>0.46553601340033507</v>
      </c>
    </row>
    <row r="15" spans="1:2" x14ac:dyDescent="0.35">
      <c r="A15" s="8">
        <v>14</v>
      </c>
      <c r="B15" s="2">
        <v>0.35251530600367809</v>
      </c>
    </row>
    <row r="16" spans="1:2" x14ac:dyDescent="0.35">
      <c r="A16" s="8">
        <v>15</v>
      </c>
      <c r="B16" s="2">
        <v>0.30525433577686395</v>
      </c>
    </row>
    <row r="17" spans="1:2" x14ac:dyDescent="0.35">
      <c r="A17" s="8">
        <v>16</v>
      </c>
      <c r="B17" s="2">
        <v>0.21543408360128619</v>
      </c>
    </row>
    <row r="18" spans="1:2" x14ac:dyDescent="0.35">
      <c r="A18" s="8">
        <v>17</v>
      </c>
      <c r="B18" s="2">
        <v>0.45428571428571429</v>
      </c>
    </row>
    <row r="19" spans="1:2" x14ac:dyDescent="0.35">
      <c r="A19" s="8">
        <v>20</v>
      </c>
      <c r="B19" s="2">
        <v>0.28222156787243202</v>
      </c>
    </row>
    <row r="20" spans="1:2" x14ac:dyDescent="0.35">
      <c r="A20" s="8">
        <v>24</v>
      </c>
      <c r="B20" s="2">
        <v>0.24769072870338693</v>
      </c>
    </row>
    <row r="21" spans="1:2" x14ac:dyDescent="0.35">
      <c r="A21" s="8">
        <v>32</v>
      </c>
      <c r="B21" s="2">
        <v>0.26639496109670247</v>
      </c>
    </row>
    <row r="22" spans="1:2" x14ac:dyDescent="0.35">
      <c r="A22" s="8">
        <v>36</v>
      </c>
      <c r="B22" s="2">
        <v>0.40701219512195119</v>
      </c>
    </row>
    <row r="23" spans="1:2" x14ac:dyDescent="0.35">
      <c r="A23" s="8">
        <v>39</v>
      </c>
      <c r="B23" s="2">
        <v>0.34</v>
      </c>
    </row>
    <row r="24" spans="1:2" x14ac:dyDescent="0.35">
      <c r="A24" s="8">
        <v>44</v>
      </c>
      <c r="B24" s="2">
        <v>0.49237029501525942</v>
      </c>
    </row>
    <row r="25" spans="1:2" x14ac:dyDescent="0.35">
      <c r="A25" s="8">
        <v>49</v>
      </c>
      <c r="B25" s="2">
        <v>0.3508500772797527</v>
      </c>
    </row>
    <row r="26" spans="1:2" x14ac:dyDescent="0.35">
      <c r="A26" s="8">
        <v>55</v>
      </c>
      <c r="B26" s="2">
        <v>0.23515831134564644</v>
      </c>
    </row>
    <row r="27" spans="1:2" x14ac:dyDescent="0.35">
      <c r="A27" s="8">
        <v>69</v>
      </c>
      <c r="B27" s="2">
        <v>0.49026345933562426</v>
      </c>
    </row>
    <row r="28" spans="1:2" x14ac:dyDescent="0.35">
      <c r="A28" s="8" t="s">
        <v>132</v>
      </c>
      <c r="B28" s="2">
        <v>0.367141232517528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9F9DE-AC9F-47E3-9B1B-9C3AFC33CE04}">
  <sheetPr codeName="Sheet6"/>
  <dimension ref="A3:B27"/>
  <sheetViews>
    <sheetView topLeftCell="A3" workbookViewId="0">
      <selection activeCell="A4" sqref="A4"/>
    </sheetView>
  </sheetViews>
  <sheetFormatPr defaultRowHeight="14.5" x14ac:dyDescent="0.35"/>
  <cols>
    <col min="1" max="1" width="12.36328125" bestFit="1" customWidth="1"/>
    <col min="2" max="2" width="17.36328125" bestFit="1" customWidth="1"/>
    <col min="3" max="3" width="20.6328125" bestFit="1" customWidth="1"/>
  </cols>
  <sheetData>
    <row r="3" spans="1:2" x14ac:dyDescent="0.35">
      <c r="A3" s="7" t="s">
        <v>131</v>
      </c>
      <c r="B3" t="s">
        <v>137</v>
      </c>
    </row>
    <row r="4" spans="1:2" x14ac:dyDescent="0.35">
      <c r="A4" s="8">
        <v>4.5999999999999996</v>
      </c>
      <c r="B4" s="13">
        <v>177</v>
      </c>
    </row>
    <row r="5" spans="1:2" x14ac:dyDescent="0.35">
      <c r="A5" s="8">
        <v>4.7</v>
      </c>
      <c r="B5" s="13">
        <v>78</v>
      </c>
    </row>
    <row r="6" spans="1:2" x14ac:dyDescent="0.35">
      <c r="A6" s="8">
        <v>2.8</v>
      </c>
      <c r="B6" s="13">
        <v>69</v>
      </c>
    </row>
    <row r="7" spans="1:2" x14ac:dyDescent="0.35">
      <c r="A7" s="8">
        <v>4.3</v>
      </c>
      <c r="B7" s="13">
        <v>61</v>
      </c>
    </row>
    <row r="8" spans="1:2" x14ac:dyDescent="0.35">
      <c r="A8" s="8">
        <v>4.0999999999999996</v>
      </c>
      <c r="B8" s="13">
        <v>46</v>
      </c>
    </row>
    <row r="9" spans="1:2" x14ac:dyDescent="0.35">
      <c r="A9" s="8">
        <v>4.5</v>
      </c>
      <c r="B9" s="13">
        <v>42</v>
      </c>
    </row>
    <row r="10" spans="1:2" x14ac:dyDescent="0.35">
      <c r="A10" s="8">
        <v>3.8</v>
      </c>
      <c r="B10" s="13">
        <v>30</v>
      </c>
    </row>
    <row r="11" spans="1:2" x14ac:dyDescent="0.35">
      <c r="A11" s="8">
        <v>3</v>
      </c>
      <c r="B11" s="13">
        <v>26</v>
      </c>
    </row>
    <row r="12" spans="1:2" x14ac:dyDescent="0.35">
      <c r="A12" s="8">
        <v>4</v>
      </c>
      <c r="B12" s="13">
        <v>24</v>
      </c>
    </row>
    <row r="13" spans="1:2" x14ac:dyDescent="0.35">
      <c r="A13" s="8">
        <v>4.8</v>
      </c>
      <c r="B13" s="13">
        <v>22</v>
      </c>
    </row>
    <row r="14" spans="1:2" x14ac:dyDescent="0.35">
      <c r="A14" s="8">
        <v>2.1</v>
      </c>
      <c r="B14" s="13">
        <v>20</v>
      </c>
    </row>
    <row r="15" spans="1:2" x14ac:dyDescent="0.35">
      <c r="A15" s="8">
        <v>2.6</v>
      </c>
      <c r="B15" s="13">
        <v>17</v>
      </c>
    </row>
    <row r="16" spans="1:2" x14ac:dyDescent="0.35">
      <c r="A16" s="8">
        <v>2.9</v>
      </c>
      <c r="B16" s="13">
        <v>16</v>
      </c>
    </row>
    <row r="17" spans="1:2" x14ac:dyDescent="0.35">
      <c r="A17" s="8">
        <v>2.7</v>
      </c>
      <c r="B17" s="13">
        <v>15</v>
      </c>
    </row>
    <row r="18" spans="1:2" x14ac:dyDescent="0.35">
      <c r="A18" s="8">
        <v>4.4000000000000004</v>
      </c>
      <c r="B18" s="13">
        <v>14</v>
      </c>
    </row>
    <row r="19" spans="1:2" x14ac:dyDescent="0.35">
      <c r="A19" s="8">
        <v>2.2999999999999998</v>
      </c>
      <c r="B19" s="13">
        <v>13</v>
      </c>
    </row>
    <row r="20" spans="1:2" x14ac:dyDescent="0.35">
      <c r="A20" s="8">
        <v>3.3</v>
      </c>
      <c r="B20" s="13">
        <v>13</v>
      </c>
    </row>
    <row r="21" spans="1:2" x14ac:dyDescent="0.35">
      <c r="A21" s="8">
        <v>5</v>
      </c>
      <c r="B21" s="13">
        <v>12</v>
      </c>
    </row>
    <row r="22" spans="1:2" x14ac:dyDescent="0.35">
      <c r="A22" s="8">
        <v>2.2000000000000002</v>
      </c>
      <c r="B22" s="13">
        <v>12</v>
      </c>
    </row>
    <row r="23" spans="1:2" x14ac:dyDescent="0.35">
      <c r="A23" s="8">
        <v>4.2</v>
      </c>
      <c r="B23" s="13">
        <v>9</v>
      </c>
    </row>
    <row r="24" spans="1:2" x14ac:dyDescent="0.35">
      <c r="A24" s="8">
        <v>2.5</v>
      </c>
      <c r="B24" s="13">
        <v>6</v>
      </c>
    </row>
    <row r="25" spans="1:2" x14ac:dyDescent="0.35">
      <c r="A25" s="8">
        <v>2</v>
      </c>
      <c r="B25" s="13">
        <v>1</v>
      </c>
    </row>
    <row r="26" spans="1:2" x14ac:dyDescent="0.35">
      <c r="A26" s="8">
        <v>3.9</v>
      </c>
      <c r="B26" s="13">
        <v>0</v>
      </c>
    </row>
    <row r="27" spans="1:2" x14ac:dyDescent="0.35">
      <c r="A27" s="8" t="s">
        <v>132</v>
      </c>
      <c r="B27" s="13">
        <v>723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3B4AB-7071-4B39-AB58-AC64E1319689}">
  <sheetPr codeName="Sheet7"/>
  <dimension ref="A3:B7"/>
  <sheetViews>
    <sheetView topLeftCell="B3" workbookViewId="0">
      <selection activeCell="B4" sqref="B4"/>
    </sheetView>
  </sheetViews>
  <sheetFormatPr defaultRowHeight="14.5" x14ac:dyDescent="0.35"/>
  <cols>
    <col min="1" max="1" width="12.36328125" bestFit="1" customWidth="1"/>
    <col min="2" max="2" width="15.26953125" bestFit="1" customWidth="1"/>
    <col min="3" max="3" width="7.81640625" bestFit="1" customWidth="1"/>
    <col min="4" max="4" width="4.81640625" bestFit="1" customWidth="1"/>
    <col min="5" max="5" width="10.7265625" bestFit="1" customWidth="1"/>
  </cols>
  <sheetData>
    <row r="3" spans="1:2" x14ac:dyDescent="0.35">
      <c r="A3" s="7" t="s">
        <v>131</v>
      </c>
      <c r="B3" t="s">
        <v>136</v>
      </c>
    </row>
    <row r="4" spans="1:2" x14ac:dyDescent="0.35">
      <c r="A4" s="8" t="s">
        <v>14</v>
      </c>
      <c r="B4" s="13">
        <v>77</v>
      </c>
    </row>
    <row r="5" spans="1:2" x14ac:dyDescent="0.35">
      <c r="A5" s="8" t="s">
        <v>17</v>
      </c>
      <c r="B5" s="13">
        <v>23</v>
      </c>
    </row>
    <row r="6" spans="1:2" x14ac:dyDescent="0.35">
      <c r="A6" s="8" t="s">
        <v>32</v>
      </c>
      <c r="B6" s="13">
        <v>12</v>
      </c>
    </row>
    <row r="7" spans="1:2" x14ac:dyDescent="0.35">
      <c r="A7" s="8" t="s">
        <v>132</v>
      </c>
      <c r="B7" s="13">
        <v>112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40213-16F2-4C0A-964D-862D981ED0B2}">
  <sheetPr codeName="Sheet8"/>
  <dimension ref="A3:B7"/>
  <sheetViews>
    <sheetView workbookViewId="0">
      <selection activeCell="K22" sqref="K22"/>
    </sheetView>
  </sheetViews>
  <sheetFormatPr defaultRowHeight="14.5" x14ac:dyDescent="0.35"/>
  <cols>
    <col min="1" max="1" width="12.36328125" bestFit="1" customWidth="1"/>
    <col min="2" max="3" width="15.26953125" bestFit="1" customWidth="1"/>
  </cols>
  <sheetData>
    <row r="3" spans="1:2" x14ac:dyDescent="0.35">
      <c r="A3" s="7" t="s">
        <v>131</v>
      </c>
      <c r="B3" t="s">
        <v>136</v>
      </c>
    </row>
    <row r="4" spans="1:2" x14ac:dyDescent="0.35">
      <c r="A4" s="8" t="s">
        <v>29</v>
      </c>
      <c r="B4" s="13">
        <v>62</v>
      </c>
    </row>
    <row r="5" spans="1:2" x14ac:dyDescent="0.35">
      <c r="A5" s="8" t="s">
        <v>14</v>
      </c>
      <c r="B5" s="13">
        <v>32</v>
      </c>
    </row>
    <row r="6" spans="1:2" x14ac:dyDescent="0.35">
      <c r="A6" s="8" t="s">
        <v>20</v>
      </c>
      <c r="B6" s="13">
        <v>18</v>
      </c>
    </row>
    <row r="7" spans="1:2" x14ac:dyDescent="0.35">
      <c r="A7" s="8" t="s">
        <v>132</v>
      </c>
      <c r="B7" s="13">
        <v>112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D1A89-FB1B-42E9-9912-D47248766205}">
  <dimension ref="A3:B11"/>
  <sheetViews>
    <sheetView workbookViewId="0">
      <selection activeCell="A4" sqref="A4:B4"/>
    </sheetView>
  </sheetViews>
  <sheetFormatPr defaultRowHeight="14.5" x14ac:dyDescent="0.35"/>
  <cols>
    <col min="1" max="1" width="12.36328125" bestFit="1" customWidth="1"/>
    <col min="2" max="2" width="15.26953125" bestFit="1" customWidth="1"/>
    <col min="3" max="3" width="50.08984375" bestFit="1" customWidth="1"/>
    <col min="4" max="4" width="47.90625" bestFit="1" customWidth="1"/>
    <col min="5" max="5" width="29.453125" bestFit="1" customWidth="1"/>
    <col min="6" max="6" width="28.90625" bestFit="1" customWidth="1"/>
    <col min="7" max="7" width="58.26953125" bestFit="1" customWidth="1"/>
    <col min="8" max="8" width="61.08984375" bestFit="1" customWidth="1"/>
    <col min="9" max="9" width="32.36328125" bestFit="1" customWidth="1"/>
    <col min="10" max="10" width="44.81640625" bestFit="1" customWidth="1"/>
    <col min="11" max="11" width="39.6328125" bestFit="1" customWidth="1"/>
    <col min="12" max="12" width="65.36328125" bestFit="1" customWidth="1"/>
    <col min="13" max="13" width="60.6328125" bestFit="1" customWidth="1"/>
    <col min="14" max="14" width="62.453125" bestFit="1" customWidth="1"/>
    <col min="15" max="15" width="49.36328125" bestFit="1" customWidth="1"/>
    <col min="16" max="16" width="36.90625" bestFit="1" customWidth="1"/>
    <col min="17" max="17" width="57.54296875" bestFit="1" customWidth="1"/>
    <col min="18" max="18" width="66.26953125" bestFit="1" customWidth="1"/>
    <col min="19" max="19" width="52.7265625" bestFit="1" customWidth="1"/>
    <col min="20" max="20" width="46.26953125" bestFit="1" customWidth="1"/>
    <col min="21" max="21" width="38.1796875" bestFit="1" customWidth="1"/>
    <col min="22" max="22" width="46.453125" bestFit="1" customWidth="1"/>
    <col min="23" max="23" width="41.7265625" bestFit="1" customWidth="1"/>
    <col min="24" max="24" width="34.453125" bestFit="1" customWidth="1"/>
    <col min="25" max="25" width="45" bestFit="1" customWidth="1"/>
    <col min="26" max="26" width="61.1796875" bestFit="1" customWidth="1"/>
    <col min="27" max="27" width="45.36328125" bestFit="1" customWidth="1"/>
    <col min="28" max="28" width="50.26953125" bestFit="1" customWidth="1"/>
    <col min="29" max="29" width="52.6328125" bestFit="1" customWidth="1"/>
    <col min="30" max="30" width="53.36328125" bestFit="1" customWidth="1"/>
    <col min="31" max="31" width="90.1796875" bestFit="1" customWidth="1"/>
    <col min="32" max="32" width="49.54296875" bestFit="1" customWidth="1"/>
    <col min="33" max="33" width="46.36328125" bestFit="1" customWidth="1"/>
    <col min="34" max="34" width="54.36328125" bestFit="1" customWidth="1"/>
    <col min="35" max="35" width="56.1796875" bestFit="1" customWidth="1"/>
    <col min="36" max="36" width="60.7265625" bestFit="1" customWidth="1"/>
    <col min="37" max="37" width="50.90625" bestFit="1" customWidth="1"/>
    <col min="38" max="38" width="27.54296875" bestFit="1" customWidth="1"/>
    <col min="39" max="39" width="59.08984375" bestFit="1" customWidth="1"/>
    <col min="40" max="40" width="48" bestFit="1" customWidth="1"/>
    <col min="41" max="41" width="51.81640625" bestFit="1" customWidth="1"/>
    <col min="42" max="42" width="48.6328125" bestFit="1" customWidth="1"/>
    <col min="43" max="43" width="51.81640625" bestFit="1" customWidth="1"/>
    <col min="44" max="44" width="53.08984375" bestFit="1" customWidth="1"/>
    <col min="45" max="45" width="46.26953125" bestFit="1" customWidth="1"/>
    <col min="46" max="46" width="62.54296875" bestFit="1" customWidth="1"/>
    <col min="47" max="47" width="49.81640625" bestFit="1" customWidth="1"/>
    <col min="48" max="48" width="33.453125" bestFit="1" customWidth="1"/>
    <col min="49" max="49" width="22.7265625" bestFit="1" customWidth="1"/>
    <col min="50" max="50" width="53.08984375" bestFit="1" customWidth="1"/>
    <col min="51" max="51" width="59.453125" bestFit="1" customWidth="1"/>
    <col min="52" max="52" width="53" bestFit="1" customWidth="1"/>
    <col min="53" max="53" width="55.6328125" bestFit="1" customWidth="1"/>
    <col min="54" max="54" width="48.6328125" bestFit="1" customWidth="1"/>
    <col min="55" max="55" width="30.1796875" bestFit="1" customWidth="1"/>
    <col min="56" max="56" width="65" bestFit="1" customWidth="1"/>
    <col min="57" max="57" width="52.26953125" bestFit="1" customWidth="1"/>
    <col min="58" max="58" width="50.08984375" bestFit="1" customWidth="1"/>
    <col min="59" max="59" width="65.1796875" bestFit="1" customWidth="1"/>
    <col min="60" max="60" width="67.81640625" bestFit="1" customWidth="1"/>
    <col min="61" max="61" width="34.6328125" bestFit="1" customWidth="1"/>
    <col min="62" max="62" width="35.7265625" bestFit="1" customWidth="1"/>
    <col min="63" max="63" width="25.81640625" bestFit="1" customWidth="1"/>
    <col min="64" max="64" width="69.36328125" bestFit="1" customWidth="1"/>
    <col min="65" max="65" width="30.453125" bestFit="1" customWidth="1"/>
    <col min="66" max="66" width="52.453125" bestFit="1" customWidth="1"/>
    <col min="67" max="67" width="63.54296875" bestFit="1" customWidth="1"/>
    <col min="68" max="68" width="46.81640625" bestFit="1" customWidth="1"/>
    <col min="69" max="69" width="39.54296875" bestFit="1" customWidth="1"/>
    <col min="70" max="70" width="44.7265625" bestFit="1" customWidth="1"/>
    <col min="71" max="71" width="37.81640625" bestFit="1" customWidth="1"/>
    <col min="72" max="72" width="32.6328125" bestFit="1" customWidth="1"/>
    <col min="73" max="73" width="54.90625" bestFit="1" customWidth="1"/>
    <col min="74" max="74" width="66.6328125" bestFit="1" customWidth="1"/>
    <col min="75" max="75" width="69.90625" bestFit="1" customWidth="1"/>
    <col min="76" max="76" width="30.1796875" bestFit="1" customWidth="1"/>
    <col min="77" max="77" width="56.08984375" bestFit="1" customWidth="1"/>
    <col min="78" max="78" width="53.08984375" bestFit="1" customWidth="1"/>
    <col min="79" max="79" width="68.81640625" bestFit="1" customWidth="1"/>
    <col min="80" max="80" width="67.6328125" bestFit="1" customWidth="1"/>
    <col min="81" max="81" width="45.90625" bestFit="1" customWidth="1"/>
    <col min="82" max="82" width="43.26953125" bestFit="1" customWidth="1"/>
    <col min="83" max="83" width="50.90625" bestFit="1" customWidth="1"/>
    <col min="84" max="84" width="44.26953125" bestFit="1" customWidth="1"/>
    <col min="85" max="85" width="65.26953125" bestFit="1" customWidth="1"/>
    <col min="86" max="86" width="70.1796875" bestFit="1" customWidth="1"/>
    <col min="87" max="87" width="67.36328125" bestFit="1" customWidth="1"/>
    <col min="88" max="88" width="57.08984375" bestFit="1" customWidth="1"/>
    <col min="89" max="89" width="43.54296875" bestFit="1" customWidth="1"/>
    <col min="90" max="90" width="51.90625" bestFit="1" customWidth="1"/>
    <col min="91" max="91" width="50.7265625" bestFit="1" customWidth="1"/>
    <col min="92" max="92" width="48.54296875" bestFit="1" customWidth="1"/>
    <col min="93" max="93" width="43" bestFit="1" customWidth="1"/>
    <col min="94" max="94" width="58.08984375" bestFit="1" customWidth="1"/>
    <col min="95" max="95" width="64.08984375" bestFit="1" customWidth="1"/>
    <col min="96" max="96" width="40.36328125" bestFit="1" customWidth="1"/>
    <col min="97" max="97" width="62.08984375" bestFit="1" customWidth="1"/>
    <col min="98" max="98" width="67.81640625" bestFit="1" customWidth="1"/>
    <col min="99" max="99" width="52.81640625" bestFit="1" customWidth="1"/>
    <col min="100" max="100" width="70.26953125" bestFit="1" customWidth="1"/>
    <col min="101" max="101" width="51.54296875" bestFit="1" customWidth="1"/>
    <col min="102" max="102" width="64.81640625" bestFit="1" customWidth="1"/>
    <col min="103" max="103" width="73.453125" bestFit="1" customWidth="1"/>
    <col min="104" max="104" width="28.36328125" bestFit="1" customWidth="1"/>
    <col min="105" max="105" width="74.7265625" bestFit="1" customWidth="1"/>
    <col min="106" max="106" width="37.7265625" bestFit="1" customWidth="1"/>
    <col min="107" max="107" width="56.90625" bestFit="1" customWidth="1"/>
    <col min="108" max="108" width="43.08984375" bestFit="1" customWidth="1"/>
    <col min="109" max="109" width="49.81640625" bestFit="1" customWidth="1"/>
    <col min="110" max="110" width="58.453125" bestFit="1" customWidth="1"/>
    <col min="111" max="111" width="10.7265625" bestFit="1" customWidth="1"/>
  </cols>
  <sheetData>
    <row r="3" spans="1:2" x14ac:dyDescent="0.35">
      <c r="A3" s="7" t="s">
        <v>131</v>
      </c>
      <c r="B3" t="s">
        <v>136</v>
      </c>
    </row>
    <row r="4" spans="1:2" x14ac:dyDescent="0.35">
      <c r="A4" s="14" t="s">
        <v>145</v>
      </c>
      <c r="B4" s="13">
        <v>29</v>
      </c>
    </row>
    <row r="5" spans="1:2" x14ac:dyDescent="0.35">
      <c r="A5" s="14" t="s">
        <v>147</v>
      </c>
      <c r="B5" s="13">
        <v>18</v>
      </c>
    </row>
    <row r="6" spans="1:2" x14ac:dyDescent="0.35">
      <c r="A6" s="14" t="s">
        <v>148</v>
      </c>
      <c r="B6" s="13">
        <v>20</v>
      </c>
    </row>
    <row r="7" spans="1:2" x14ac:dyDescent="0.35">
      <c r="A7" s="14" t="s">
        <v>149</v>
      </c>
      <c r="B7" s="13">
        <v>9</v>
      </c>
    </row>
    <row r="8" spans="1:2" x14ac:dyDescent="0.35">
      <c r="A8" s="14" t="s">
        <v>150</v>
      </c>
      <c r="B8" s="13">
        <v>5</v>
      </c>
    </row>
    <row r="9" spans="1:2" x14ac:dyDescent="0.35">
      <c r="A9" s="14" t="s">
        <v>151</v>
      </c>
      <c r="B9" s="13">
        <v>3</v>
      </c>
    </row>
    <row r="10" spans="1:2" x14ac:dyDescent="0.35">
      <c r="A10" s="14" t="s">
        <v>146</v>
      </c>
      <c r="B10" s="13">
        <v>28</v>
      </c>
    </row>
    <row r="11" spans="1:2" x14ac:dyDescent="0.35">
      <c r="A11" s="14" t="s">
        <v>132</v>
      </c>
      <c r="B11" s="13">
        <v>112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268CA-7043-4E14-BFED-C37CF8129BAE}">
  <sheetPr codeName="Sheet9"/>
  <dimension ref="A1:I113"/>
  <sheetViews>
    <sheetView workbookViewId="0">
      <selection activeCell="I113" sqref="A1:I113"/>
    </sheetView>
  </sheetViews>
  <sheetFormatPr defaultRowHeight="14.5" x14ac:dyDescent="0.35"/>
  <cols>
    <col min="1" max="1" width="89.1796875" bestFit="1" customWidth="1"/>
    <col min="2" max="2" width="11.81640625" bestFit="1" customWidth="1"/>
    <col min="3" max="3" width="10.7265625" bestFit="1" customWidth="1"/>
  </cols>
  <sheetData>
    <row r="1" spans="1:9" x14ac:dyDescent="0.35">
      <c r="A1" s="3" t="s">
        <v>0</v>
      </c>
      <c r="B1" s="3" t="s">
        <v>1</v>
      </c>
      <c r="C1" s="3" t="s">
        <v>2</v>
      </c>
      <c r="D1" s="3" t="s">
        <v>3</v>
      </c>
      <c r="E1" s="3" t="s">
        <v>4</v>
      </c>
      <c r="F1" s="3" t="s">
        <v>5</v>
      </c>
      <c r="G1" s="3" t="s">
        <v>6</v>
      </c>
      <c r="H1" s="3" t="s">
        <v>7</v>
      </c>
      <c r="I1" s="3" t="s">
        <v>8</v>
      </c>
    </row>
    <row r="2" spans="1:9" x14ac:dyDescent="0.35">
      <c r="A2" t="s">
        <v>13</v>
      </c>
      <c r="B2" s="1">
        <v>3750</v>
      </c>
      <c r="C2" s="1">
        <v>6143</v>
      </c>
      <c r="D2" s="2">
        <f>(C2-B2)/C2</f>
        <v>0.38954908025394758</v>
      </c>
      <c r="E2" t="str">
        <f>IF(D2&lt;0.2,"Low",IF(AND(D2&gt;=0.2,D2&lt;=0.4),"Medium","High"))</f>
        <v>Medium</v>
      </c>
      <c r="F2">
        <v>-5</v>
      </c>
      <c r="G2">
        <v>3</v>
      </c>
      <c r="H2" t="str">
        <f>IF(G2&lt;3,"Poor",IF(AND(G2&gt;=3,G2&lt;=4.4),"Medium","Excellent"))</f>
        <v>Medium</v>
      </c>
      <c r="I2">
        <f>ABS(F2)</f>
        <v>5</v>
      </c>
    </row>
    <row r="3" spans="1:9" x14ac:dyDescent="0.35">
      <c r="A3" t="s">
        <v>16</v>
      </c>
      <c r="B3" s="1">
        <v>3640</v>
      </c>
      <c r="C3" s="1">
        <v>4588</v>
      </c>
      <c r="D3" s="2">
        <f t="shared" ref="D3:D66" si="0">(C3-B3)/C3</f>
        <v>0.20662598081952921</v>
      </c>
      <c r="E3" t="str">
        <f t="shared" ref="E3:E66" si="1">IF(D3&lt;0.2,"Low",IF(AND(D3&gt;=0.2,D3&lt;=0.4),"Medium","High"))</f>
        <v>Medium</v>
      </c>
      <c r="F3">
        <v>-1</v>
      </c>
      <c r="G3">
        <v>5</v>
      </c>
      <c r="H3" t="str">
        <f t="shared" ref="H3:H66" si="2">IF(G3&lt;3,"Poor",IF(AND(G3&gt;=3,G3&lt;=4.4),"Medium","Excellent"))</f>
        <v>Excellent</v>
      </c>
      <c r="I3">
        <f t="shared" ref="I3:I66" si="3">ABS(F3)</f>
        <v>1</v>
      </c>
    </row>
    <row r="4" spans="1:9" x14ac:dyDescent="0.35">
      <c r="A4" t="s">
        <v>19</v>
      </c>
      <c r="B4" s="1">
        <v>3546</v>
      </c>
      <c r="C4" s="1">
        <v>3699</v>
      </c>
      <c r="D4" s="2">
        <f t="shared" si="0"/>
        <v>4.1362530413625302E-2</v>
      </c>
      <c r="E4" t="str">
        <f t="shared" si="1"/>
        <v>Low</v>
      </c>
      <c r="F4">
        <v>0</v>
      </c>
      <c r="G4">
        <v>3.9</v>
      </c>
      <c r="H4" t="str">
        <f t="shared" si="2"/>
        <v>Medium</v>
      </c>
      <c r="I4">
        <f t="shared" si="3"/>
        <v>0</v>
      </c>
    </row>
    <row r="5" spans="1:9" x14ac:dyDescent="0.35">
      <c r="A5" t="s">
        <v>21</v>
      </c>
      <c r="B5" s="1">
        <v>2999</v>
      </c>
      <c r="C5" s="1">
        <v>3290</v>
      </c>
      <c r="D5" s="2">
        <f t="shared" si="0"/>
        <v>8.8449848024316116E-2</v>
      </c>
      <c r="E5" t="str">
        <f t="shared" si="1"/>
        <v>Low</v>
      </c>
      <c r="F5">
        <v>-15</v>
      </c>
      <c r="G5">
        <v>4</v>
      </c>
      <c r="H5" t="str">
        <f t="shared" si="2"/>
        <v>Medium</v>
      </c>
      <c r="I5">
        <f t="shared" si="3"/>
        <v>15</v>
      </c>
    </row>
    <row r="6" spans="1:9" x14ac:dyDescent="0.35">
      <c r="A6" t="s">
        <v>22</v>
      </c>
      <c r="B6" s="1">
        <v>2999</v>
      </c>
      <c r="C6" s="1">
        <v>3699</v>
      </c>
      <c r="D6" s="2">
        <f t="shared" si="0"/>
        <v>0.18924033522573669</v>
      </c>
      <c r="E6" t="str">
        <f t="shared" si="1"/>
        <v>Low</v>
      </c>
      <c r="F6">
        <v>-5</v>
      </c>
      <c r="G6">
        <v>4.5999999999999996</v>
      </c>
      <c r="H6" t="str">
        <f t="shared" si="2"/>
        <v>Excellent</v>
      </c>
      <c r="I6">
        <f t="shared" si="3"/>
        <v>5</v>
      </c>
    </row>
    <row r="7" spans="1:9" x14ac:dyDescent="0.35">
      <c r="A7" t="s">
        <v>23</v>
      </c>
      <c r="B7" s="1">
        <v>2880</v>
      </c>
      <c r="C7" s="1">
        <v>3520</v>
      </c>
      <c r="D7" s="2">
        <f t="shared" si="0"/>
        <v>0.18181818181818182</v>
      </c>
      <c r="E7" t="str">
        <f t="shared" si="1"/>
        <v>Low</v>
      </c>
      <c r="F7">
        <v>-12</v>
      </c>
      <c r="G7">
        <v>3.8</v>
      </c>
      <c r="H7" t="str">
        <f t="shared" si="2"/>
        <v>Medium</v>
      </c>
      <c r="I7">
        <f t="shared" si="3"/>
        <v>12</v>
      </c>
    </row>
    <row r="8" spans="1:9" x14ac:dyDescent="0.35">
      <c r="A8" t="s">
        <v>24</v>
      </c>
      <c r="B8" s="1">
        <v>2799</v>
      </c>
      <c r="C8" s="1">
        <v>3810</v>
      </c>
      <c r="D8" s="2">
        <f t="shared" si="0"/>
        <v>0.26535433070866143</v>
      </c>
      <c r="E8" t="str">
        <f t="shared" si="1"/>
        <v>Medium</v>
      </c>
      <c r="F8">
        <v>0</v>
      </c>
      <c r="G8">
        <v>3.9</v>
      </c>
      <c r="H8" t="str">
        <f t="shared" si="2"/>
        <v>Medium</v>
      </c>
      <c r="I8">
        <f t="shared" si="3"/>
        <v>0</v>
      </c>
    </row>
    <row r="9" spans="1:9" x14ac:dyDescent="0.35">
      <c r="A9" t="s">
        <v>25</v>
      </c>
      <c r="B9" s="1">
        <v>2750</v>
      </c>
      <c r="C9" s="1">
        <v>4471</v>
      </c>
      <c r="D9" s="2">
        <f t="shared" si="0"/>
        <v>0.38492507269067322</v>
      </c>
      <c r="E9" t="str">
        <f t="shared" si="1"/>
        <v>Medium</v>
      </c>
      <c r="F9">
        <v>0</v>
      </c>
      <c r="G9">
        <v>3.9</v>
      </c>
      <c r="H9" t="str">
        <f t="shared" si="2"/>
        <v>Medium</v>
      </c>
      <c r="I9">
        <f t="shared" si="3"/>
        <v>0</v>
      </c>
    </row>
    <row r="10" spans="1:9" x14ac:dyDescent="0.35">
      <c r="A10" t="s">
        <v>26</v>
      </c>
      <c r="B10" s="1">
        <v>2319</v>
      </c>
      <c r="C10" s="1">
        <v>3032</v>
      </c>
      <c r="D10" s="2">
        <f t="shared" si="0"/>
        <v>0.23515831134564644</v>
      </c>
      <c r="E10" t="str">
        <f t="shared" si="1"/>
        <v>Medium</v>
      </c>
      <c r="F10">
        <v>-55</v>
      </c>
      <c r="G10">
        <v>4.5999999999999996</v>
      </c>
      <c r="H10" t="str">
        <f t="shared" si="2"/>
        <v>Excellent</v>
      </c>
      <c r="I10">
        <f t="shared" si="3"/>
        <v>55</v>
      </c>
    </row>
    <row r="11" spans="1:9" x14ac:dyDescent="0.35">
      <c r="A11" t="s">
        <v>27</v>
      </c>
      <c r="B11" s="1">
        <v>2300</v>
      </c>
      <c r="C11" s="1">
        <v>3240</v>
      </c>
      <c r="D11" s="2">
        <f t="shared" si="0"/>
        <v>0.29012345679012347</v>
      </c>
      <c r="E11" t="str">
        <f t="shared" si="1"/>
        <v>Medium</v>
      </c>
      <c r="F11">
        <v>-5</v>
      </c>
      <c r="G11">
        <v>3</v>
      </c>
      <c r="H11" t="str">
        <f t="shared" si="2"/>
        <v>Medium</v>
      </c>
      <c r="I11">
        <f t="shared" si="3"/>
        <v>5</v>
      </c>
    </row>
    <row r="12" spans="1:9" x14ac:dyDescent="0.35">
      <c r="A12" t="s">
        <v>28</v>
      </c>
      <c r="B12" s="1">
        <v>2200</v>
      </c>
      <c r="C12" s="1">
        <v>4080</v>
      </c>
      <c r="D12" s="2">
        <f t="shared" si="0"/>
        <v>0.46078431372549017</v>
      </c>
      <c r="E12" t="str">
        <f t="shared" si="1"/>
        <v>High</v>
      </c>
      <c r="F12">
        <v>0</v>
      </c>
      <c r="G12">
        <v>3.9</v>
      </c>
      <c r="H12" t="str">
        <f t="shared" si="2"/>
        <v>Medium</v>
      </c>
      <c r="I12">
        <f t="shared" si="3"/>
        <v>0</v>
      </c>
    </row>
    <row r="13" spans="1:9" x14ac:dyDescent="0.35">
      <c r="A13" t="s">
        <v>30</v>
      </c>
      <c r="B13" s="1">
        <v>2199</v>
      </c>
      <c r="C13" s="1">
        <v>2923</v>
      </c>
      <c r="D13" s="2">
        <f t="shared" si="0"/>
        <v>0.24769072870338693</v>
      </c>
      <c r="E13" t="str">
        <f t="shared" si="1"/>
        <v>Medium</v>
      </c>
      <c r="F13">
        <v>-24</v>
      </c>
      <c r="G13">
        <v>4.5999999999999996</v>
      </c>
      <c r="H13" t="str">
        <f t="shared" si="2"/>
        <v>Excellent</v>
      </c>
      <c r="I13">
        <f t="shared" si="3"/>
        <v>24</v>
      </c>
    </row>
    <row r="14" spans="1:9" x14ac:dyDescent="0.35">
      <c r="A14" t="s">
        <v>31</v>
      </c>
      <c r="B14" s="1">
        <v>2170</v>
      </c>
      <c r="C14" s="1">
        <v>2500</v>
      </c>
      <c r="D14" s="2">
        <f t="shared" si="0"/>
        <v>0.13200000000000001</v>
      </c>
      <c r="E14" t="str">
        <f t="shared" si="1"/>
        <v>Low</v>
      </c>
      <c r="F14">
        <v>-6</v>
      </c>
      <c r="G14">
        <v>2.5</v>
      </c>
      <c r="H14" t="str">
        <f t="shared" si="2"/>
        <v>Poor</v>
      </c>
      <c r="I14">
        <f t="shared" si="3"/>
        <v>6</v>
      </c>
    </row>
    <row r="15" spans="1:9" x14ac:dyDescent="0.35">
      <c r="A15" t="s">
        <v>33</v>
      </c>
      <c r="B15" s="1">
        <v>2132</v>
      </c>
      <c r="C15" s="1">
        <v>2169</v>
      </c>
      <c r="D15" s="2">
        <f t="shared" si="0"/>
        <v>1.705855232826187E-2</v>
      </c>
      <c r="E15" t="str">
        <f t="shared" si="1"/>
        <v>Low</v>
      </c>
      <c r="F15">
        <v>0</v>
      </c>
      <c r="G15">
        <v>3.9</v>
      </c>
      <c r="H15" t="str">
        <f t="shared" si="2"/>
        <v>Medium</v>
      </c>
      <c r="I15">
        <f t="shared" si="3"/>
        <v>0</v>
      </c>
    </row>
    <row r="16" spans="1:9" x14ac:dyDescent="0.35">
      <c r="A16" t="s">
        <v>34</v>
      </c>
      <c r="B16" s="1">
        <v>2115</v>
      </c>
      <c r="C16" s="1">
        <v>4700</v>
      </c>
      <c r="D16" s="2">
        <f t="shared" si="0"/>
        <v>0.55000000000000004</v>
      </c>
      <c r="E16" t="str">
        <f t="shared" si="1"/>
        <v>High</v>
      </c>
      <c r="F16">
        <v>-13</v>
      </c>
      <c r="G16">
        <v>2.1</v>
      </c>
      <c r="H16" t="str">
        <f t="shared" si="2"/>
        <v>Poor</v>
      </c>
      <c r="I16">
        <f t="shared" si="3"/>
        <v>13</v>
      </c>
    </row>
    <row r="17" spans="1:9" x14ac:dyDescent="0.35">
      <c r="A17" t="s">
        <v>35</v>
      </c>
      <c r="B17" s="1">
        <v>2048</v>
      </c>
      <c r="C17" s="1">
        <v>4500</v>
      </c>
      <c r="D17" s="2">
        <f t="shared" si="0"/>
        <v>0.54488888888888887</v>
      </c>
      <c r="E17" t="str">
        <f t="shared" si="1"/>
        <v>High</v>
      </c>
      <c r="F17">
        <v>-7</v>
      </c>
      <c r="G17">
        <v>4.3</v>
      </c>
      <c r="H17" t="str">
        <f t="shared" si="2"/>
        <v>Medium</v>
      </c>
      <c r="I17">
        <f t="shared" si="3"/>
        <v>7</v>
      </c>
    </row>
    <row r="18" spans="1:9" x14ac:dyDescent="0.35">
      <c r="A18" t="s">
        <v>36</v>
      </c>
      <c r="B18" s="1">
        <v>2025</v>
      </c>
      <c r="C18" s="1">
        <v>3971</v>
      </c>
      <c r="D18" s="2">
        <f t="shared" si="0"/>
        <v>0.49005288340468395</v>
      </c>
      <c r="E18" t="str">
        <f t="shared" si="1"/>
        <v>High</v>
      </c>
      <c r="F18">
        <v>-3</v>
      </c>
      <c r="G18">
        <v>5</v>
      </c>
      <c r="H18" t="str">
        <f t="shared" si="2"/>
        <v>Excellent</v>
      </c>
      <c r="I18">
        <f t="shared" si="3"/>
        <v>3</v>
      </c>
    </row>
    <row r="19" spans="1:9" x14ac:dyDescent="0.35">
      <c r="A19" t="s">
        <v>37</v>
      </c>
      <c r="B19" s="1">
        <v>1980</v>
      </c>
      <c r="C19" s="1">
        <v>2699</v>
      </c>
      <c r="D19" s="2">
        <f t="shared" si="0"/>
        <v>0.26639496109670247</v>
      </c>
      <c r="E19" t="str">
        <f t="shared" si="1"/>
        <v>Medium</v>
      </c>
      <c r="F19">
        <v>-32</v>
      </c>
      <c r="G19">
        <v>4.5</v>
      </c>
      <c r="H19" t="str">
        <f t="shared" si="2"/>
        <v>Excellent</v>
      </c>
      <c r="I19">
        <f t="shared" si="3"/>
        <v>32</v>
      </c>
    </row>
    <row r="20" spans="1:9" x14ac:dyDescent="0.35">
      <c r="A20" t="s">
        <v>38</v>
      </c>
      <c r="B20" s="1">
        <v>1940</v>
      </c>
      <c r="C20" s="1">
        <v>2650</v>
      </c>
      <c r="D20" s="2">
        <f t="shared" si="0"/>
        <v>0.26792452830188679</v>
      </c>
      <c r="E20" t="str">
        <f t="shared" si="1"/>
        <v>Medium</v>
      </c>
      <c r="F20">
        <v>-20</v>
      </c>
      <c r="G20">
        <v>4.7</v>
      </c>
      <c r="H20" t="str">
        <f t="shared" si="2"/>
        <v>Excellent</v>
      </c>
      <c r="I20">
        <f t="shared" si="3"/>
        <v>20</v>
      </c>
    </row>
    <row r="21" spans="1:9" x14ac:dyDescent="0.35">
      <c r="A21" t="s">
        <v>39</v>
      </c>
      <c r="B21" s="1">
        <v>1875</v>
      </c>
      <c r="C21" s="1">
        <v>1899</v>
      </c>
      <c r="D21" s="2">
        <f t="shared" si="0"/>
        <v>1.2638230647709321E-2</v>
      </c>
      <c r="E21" t="str">
        <f t="shared" si="1"/>
        <v>Low</v>
      </c>
      <c r="F21">
        <v>0</v>
      </c>
      <c r="G21">
        <v>3.9</v>
      </c>
      <c r="H21" t="str">
        <f t="shared" si="2"/>
        <v>Medium</v>
      </c>
      <c r="I21">
        <f t="shared" si="3"/>
        <v>0</v>
      </c>
    </row>
    <row r="22" spans="1:9" x14ac:dyDescent="0.35">
      <c r="A22" t="s">
        <v>40</v>
      </c>
      <c r="B22" s="1">
        <v>1860</v>
      </c>
      <c r="C22" s="1">
        <v>3220</v>
      </c>
      <c r="D22" s="2">
        <f t="shared" si="0"/>
        <v>0.42236024844720499</v>
      </c>
      <c r="E22" t="str">
        <f t="shared" si="1"/>
        <v>High</v>
      </c>
      <c r="F22">
        <v>0</v>
      </c>
      <c r="G22">
        <v>3.9</v>
      </c>
      <c r="H22" t="str">
        <f t="shared" si="2"/>
        <v>Medium</v>
      </c>
      <c r="I22">
        <f t="shared" si="3"/>
        <v>0</v>
      </c>
    </row>
    <row r="23" spans="1:9" x14ac:dyDescent="0.35">
      <c r="A23" t="s">
        <v>41</v>
      </c>
      <c r="B23" s="1">
        <v>1820</v>
      </c>
      <c r="C23" s="1">
        <v>3490</v>
      </c>
      <c r="D23" s="2">
        <f t="shared" si="0"/>
        <v>0.47851002865329512</v>
      </c>
      <c r="E23" t="str">
        <f t="shared" si="1"/>
        <v>High</v>
      </c>
      <c r="F23">
        <v>-9</v>
      </c>
      <c r="G23">
        <v>4.3</v>
      </c>
      <c r="H23" t="str">
        <f t="shared" si="2"/>
        <v>Medium</v>
      </c>
      <c r="I23">
        <f t="shared" si="3"/>
        <v>9</v>
      </c>
    </row>
    <row r="24" spans="1:9" x14ac:dyDescent="0.35">
      <c r="A24" t="s">
        <v>42</v>
      </c>
      <c r="B24" s="1">
        <v>1800</v>
      </c>
      <c r="C24" s="1">
        <v>2700</v>
      </c>
      <c r="D24" s="2">
        <f t="shared" si="0"/>
        <v>0.33333333333333331</v>
      </c>
      <c r="E24" t="str">
        <f t="shared" si="1"/>
        <v>Medium</v>
      </c>
      <c r="F24">
        <v>-2</v>
      </c>
      <c r="G24">
        <v>4.5</v>
      </c>
      <c r="H24" t="str">
        <f t="shared" si="2"/>
        <v>Excellent</v>
      </c>
      <c r="I24">
        <f t="shared" si="3"/>
        <v>2</v>
      </c>
    </row>
    <row r="25" spans="1:9" x14ac:dyDescent="0.35">
      <c r="A25" t="s">
        <v>43</v>
      </c>
      <c r="B25" s="1">
        <v>1768</v>
      </c>
      <c r="C25" s="1">
        <v>1799</v>
      </c>
      <c r="D25" s="2">
        <f t="shared" si="0"/>
        <v>1.7231795441912175E-2</v>
      </c>
      <c r="E25" t="str">
        <f t="shared" si="1"/>
        <v>Low</v>
      </c>
      <c r="F25">
        <v>0</v>
      </c>
      <c r="G25">
        <v>3.9</v>
      </c>
      <c r="H25" t="str">
        <f t="shared" si="2"/>
        <v>Medium</v>
      </c>
      <c r="I25">
        <f t="shared" si="3"/>
        <v>0</v>
      </c>
    </row>
    <row r="26" spans="1:9" x14ac:dyDescent="0.35">
      <c r="A26" t="s">
        <v>44</v>
      </c>
      <c r="B26" s="1">
        <v>1758</v>
      </c>
      <c r="C26" s="1">
        <v>2499</v>
      </c>
      <c r="D26" s="2">
        <f t="shared" si="0"/>
        <v>0.2965186074429772</v>
      </c>
      <c r="E26" t="str">
        <f t="shared" si="1"/>
        <v>Medium</v>
      </c>
      <c r="F26">
        <v>-20</v>
      </c>
      <c r="G26">
        <v>4.0999999999999996</v>
      </c>
      <c r="H26" t="str">
        <f t="shared" si="2"/>
        <v>Medium</v>
      </c>
      <c r="I26">
        <f t="shared" si="3"/>
        <v>20</v>
      </c>
    </row>
    <row r="27" spans="1:9" x14ac:dyDescent="0.35">
      <c r="A27" t="s">
        <v>45</v>
      </c>
      <c r="B27" s="1">
        <v>1740</v>
      </c>
      <c r="C27" s="1">
        <v>2356</v>
      </c>
      <c r="D27" s="2">
        <f t="shared" si="0"/>
        <v>0.26146010186757218</v>
      </c>
      <c r="E27" t="str">
        <f t="shared" si="1"/>
        <v>Medium</v>
      </c>
      <c r="F27">
        <v>-5</v>
      </c>
      <c r="G27">
        <v>4.8</v>
      </c>
      <c r="H27" t="str">
        <f t="shared" si="2"/>
        <v>Excellent</v>
      </c>
      <c r="I27">
        <f t="shared" si="3"/>
        <v>5</v>
      </c>
    </row>
    <row r="28" spans="1:9" x14ac:dyDescent="0.35">
      <c r="A28" t="s">
        <v>46</v>
      </c>
      <c r="B28" s="1">
        <v>1732</v>
      </c>
      <c r="C28" s="1">
        <v>1799</v>
      </c>
      <c r="D28" s="2">
        <f t="shared" si="0"/>
        <v>3.7242912729294052E-2</v>
      </c>
      <c r="E28" t="str">
        <f t="shared" si="1"/>
        <v>Low</v>
      </c>
      <c r="F28">
        <v>0</v>
      </c>
      <c r="G28">
        <v>3.9</v>
      </c>
      <c r="H28" t="str">
        <f t="shared" si="2"/>
        <v>Medium</v>
      </c>
      <c r="I28">
        <f t="shared" si="3"/>
        <v>0</v>
      </c>
    </row>
    <row r="29" spans="1:9" x14ac:dyDescent="0.35">
      <c r="A29" t="s">
        <v>47</v>
      </c>
      <c r="B29" s="1">
        <v>1680</v>
      </c>
      <c r="C29" s="1">
        <v>2499</v>
      </c>
      <c r="D29" s="2">
        <f t="shared" si="0"/>
        <v>0.32773109243697479</v>
      </c>
      <c r="E29" t="str">
        <f t="shared" si="1"/>
        <v>Medium</v>
      </c>
      <c r="F29">
        <v>-9</v>
      </c>
      <c r="G29">
        <v>4.2</v>
      </c>
      <c r="H29" t="str">
        <f t="shared" si="2"/>
        <v>Medium</v>
      </c>
      <c r="I29">
        <f t="shared" si="3"/>
        <v>9</v>
      </c>
    </row>
    <row r="30" spans="1:9" x14ac:dyDescent="0.35">
      <c r="A30" t="s">
        <v>48</v>
      </c>
      <c r="B30" s="1">
        <v>1666</v>
      </c>
      <c r="C30" s="1">
        <v>1699</v>
      </c>
      <c r="D30" s="2">
        <f t="shared" si="0"/>
        <v>1.9423190111830489E-2</v>
      </c>
      <c r="E30" t="str">
        <f t="shared" si="1"/>
        <v>Low</v>
      </c>
      <c r="F30">
        <v>0</v>
      </c>
      <c r="G30">
        <v>3.9</v>
      </c>
      <c r="H30" t="str">
        <f t="shared" si="2"/>
        <v>Medium</v>
      </c>
      <c r="I30">
        <f t="shared" si="3"/>
        <v>0</v>
      </c>
    </row>
    <row r="31" spans="1:9" x14ac:dyDescent="0.35">
      <c r="A31" t="s">
        <v>49</v>
      </c>
      <c r="B31" s="1">
        <v>1660</v>
      </c>
      <c r="C31" s="1">
        <v>1699</v>
      </c>
      <c r="D31" s="2">
        <f t="shared" si="0"/>
        <v>2.2954679223072396E-2</v>
      </c>
      <c r="E31" t="str">
        <f t="shared" si="1"/>
        <v>Low</v>
      </c>
      <c r="F31">
        <v>0</v>
      </c>
      <c r="G31">
        <v>3.9</v>
      </c>
      <c r="H31" t="str">
        <f t="shared" si="2"/>
        <v>Medium</v>
      </c>
      <c r="I31">
        <f t="shared" si="3"/>
        <v>0</v>
      </c>
    </row>
    <row r="32" spans="1:9" x14ac:dyDescent="0.35">
      <c r="A32" t="s">
        <v>50</v>
      </c>
      <c r="B32" s="1">
        <v>1658</v>
      </c>
      <c r="C32" s="1">
        <v>1699</v>
      </c>
      <c r="D32" s="2">
        <f t="shared" si="0"/>
        <v>2.4131842260153032E-2</v>
      </c>
      <c r="E32" t="str">
        <f t="shared" si="1"/>
        <v>Low</v>
      </c>
      <c r="F32">
        <v>0</v>
      </c>
      <c r="G32">
        <v>3.9</v>
      </c>
      <c r="H32" t="str">
        <f t="shared" si="2"/>
        <v>Medium</v>
      </c>
      <c r="I32">
        <f t="shared" si="3"/>
        <v>0</v>
      </c>
    </row>
    <row r="33" spans="1:9" x14ac:dyDescent="0.35">
      <c r="A33" t="s">
        <v>51</v>
      </c>
      <c r="B33" s="1">
        <v>1650</v>
      </c>
      <c r="C33" s="1">
        <v>2150</v>
      </c>
      <c r="D33" s="2">
        <f t="shared" si="0"/>
        <v>0.23255813953488372</v>
      </c>
      <c r="E33" t="str">
        <f t="shared" si="1"/>
        <v>Medium</v>
      </c>
      <c r="F33">
        <v>-14</v>
      </c>
      <c r="G33">
        <v>4.4000000000000004</v>
      </c>
      <c r="H33" t="str">
        <f t="shared" si="2"/>
        <v>Medium</v>
      </c>
      <c r="I33">
        <f t="shared" si="3"/>
        <v>14</v>
      </c>
    </row>
    <row r="34" spans="1:9" x14ac:dyDescent="0.35">
      <c r="A34" t="s">
        <v>52</v>
      </c>
      <c r="B34" s="1">
        <v>1620</v>
      </c>
      <c r="C34" s="1">
        <v>2690</v>
      </c>
      <c r="D34" s="2">
        <f t="shared" si="0"/>
        <v>0.39776951672862454</v>
      </c>
      <c r="E34" t="str">
        <f t="shared" si="1"/>
        <v>Medium</v>
      </c>
      <c r="F34">
        <v>-1</v>
      </c>
      <c r="G34">
        <v>5</v>
      </c>
      <c r="H34" t="str">
        <f t="shared" si="2"/>
        <v>Excellent</v>
      </c>
      <c r="I34">
        <f t="shared" si="3"/>
        <v>1</v>
      </c>
    </row>
    <row r="35" spans="1:9" x14ac:dyDescent="0.35">
      <c r="A35" t="s">
        <v>53</v>
      </c>
      <c r="B35" s="1">
        <v>1600</v>
      </c>
      <c r="C35" s="1">
        <v>2929</v>
      </c>
      <c r="D35" s="2">
        <f t="shared" si="0"/>
        <v>0.45373847729600547</v>
      </c>
      <c r="E35" t="str">
        <f t="shared" si="1"/>
        <v>High</v>
      </c>
      <c r="F35">
        <v>-5</v>
      </c>
      <c r="G35">
        <v>3.8</v>
      </c>
      <c r="H35" t="str">
        <f t="shared" si="2"/>
        <v>Medium</v>
      </c>
      <c r="I35">
        <f t="shared" si="3"/>
        <v>5</v>
      </c>
    </row>
    <row r="36" spans="1:9" x14ac:dyDescent="0.35">
      <c r="A36" t="s">
        <v>54</v>
      </c>
      <c r="B36" s="1">
        <v>1580</v>
      </c>
      <c r="C36" s="1">
        <v>2499</v>
      </c>
      <c r="D36" s="2">
        <f t="shared" si="0"/>
        <v>0.36774709883953582</v>
      </c>
      <c r="E36" t="str">
        <f t="shared" si="1"/>
        <v>Medium</v>
      </c>
      <c r="F36">
        <v>-7</v>
      </c>
      <c r="G36">
        <v>4.7</v>
      </c>
      <c r="H36" t="str">
        <f t="shared" si="2"/>
        <v>Excellent</v>
      </c>
      <c r="I36">
        <f t="shared" si="3"/>
        <v>7</v>
      </c>
    </row>
    <row r="37" spans="1:9" x14ac:dyDescent="0.35">
      <c r="A37" t="s">
        <v>55</v>
      </c>
      <c r="B37" s="1">
        <v>1570</v>
      </c>
      <c r="C37" s="1">
        <v>2988</v>
      </c>
      <c r="D37" s="2">
        <f t="shared" si="0"/>
        <v>0.4745649263721553</v>
      </c>
      <c r="E37" t="str">
        <f t="shared" si="1"/>
        <v>High</v>
      </c>
      <c r="F37">
        <v>-7</v>
      </c>
      <c r="G37">
        <v>2.1</v>
      </c>
      <c r="H37" t="str">
        <f t="shared" si="2"/>
        <v>Poor</v>
      </c>
      <c r="I37">
        <f t="shared" si="3"/>
        <v>7</v>
      </c>
    </row>
    <row r="38" spans="1:9" x14ac:dyDescent="0.35">
      <c r="A38" t="s">
        <v>56</v>
      </c>
      <c r="B38" s="1">
        <v>1526</v>
      </c>
      <c r="C38" s="1">
        <v>1660</v>
      </c>
      <c r="D38" s="2">
        <f t="shared" si="0"/>
        <v>8.0722891566265054E-2</v>
      </c>
      <c r="E38" t="str">
        <f t="shared" si="1"/>
        <v>Low</v>
      </c>
      <c r="F38">
        <v>0</v>
      </c>
      <c r="G38">
        <v>3.9</v>
      </c>
      <c r="H38" t="str">
        <f t="shared" si="2"/>
        <v>Medium</v>
      </c>
      <c r="I38">
        <f t="shared" si="3"/>
        <v>0</v>
      </c>
    </row>
    <row r="39" spans="1:9" x14ac:dyDescent="0.35">
      <c r="A39" t="s">
        <v>57</v>
      </c>
      <c r="B39" s="1">
        <v>1468</v>
      </c>
      <c r="C39" s="1">
        <v>1699</v>
      </c>
      <c r="D39" s="2">
        <f t="shared" si="0"/>
        <v>0.13596233078281342</v>
      </c>
      <c r="E39" t="str">
        <f t="shared" si="1"/>
        <v>Low</v>
      </c>
      <c r="F39">
        <v>0</v>
      </c>
      <c r="G39">
        <v>3.9</v>
      </c>
      <c r="H39" t="str">
        <f t="shared" si="2"/>
        <v>Medium</v>
      </c>
      <c r="I39">
        <f t="shared" si="3"/>
        <v>0</v>
      </c>
    </row>
    <row r="40" spans="1:9" x14ac:dyDescent="0.35">
      <c r="A40" t="s">
        <v>58</v>
      </c>
      <c r="B40" s="1">
        <v>1466</v>
      </c>
      <c r="C40" s="1">
        <v>1699</v>
      </c>
      <c r="D40" s="2">
        <f t="shared" si="0"/>
        <v>0.13713949381989404</v>
      </c>
      <c r="E40" t="str">
        <f t="shared" si="1"/>
        <v>Low</v>
      </c>
      <c r="F40">
        <v>0</v>
      </c>
      <c r="G40">
        <v>3.9</v>
      </c>
      <c r="H40" t="str">
        <f t="shared" si="2"/>
        <v>Medium</v>
      </c>
      <c r="I40">
        <f t="shared" si="3"/>
        <v>0</v>
      </c>
    </row>
    <row r="41" spans="1:9" x14ac:dyDescent="0.35">
      <c r="A41" t="s">
        <v>59</v>
      </c>
      <c r="B41" s="1">
        <v>1462</v>
      </c>
      <c r="C41" s="1">
        <v>1499</v>
      </c>
      <c r="D41" s="2">
        <f t="shared" si="0"/>
        <v>2.4683122081387593E-2</v>
      </c>
      <c r="E41" t="str">
        <f t="shared" si="1"/>
        <v>Low</v>
      </c>
      <c r="F41">
        <v>0</v>
      </c>
      <c r="G41">
        <v>3.9</v>
      </c>
      <c r="H41" t="str">
        <f t="shared" si="2"/>
        <v>Medium</v>
      </c>
      <c r="I41">
        <f t="shared" si="3"/>
        <v>0</v>
      </c>
    </row>
    <row r="42" spans="1:9" x14ac:dyDescent="0.35">
      <c r="A42" t="s">
        <v>60</v>
      </c>
      <c r="B42" s="1">
        <v>1460</v>
      </c>
      <c r="C42" s="1">
        <v>2290</v>
      </c>
      <c r="D42" s="2">
        <f t="shared" si="0"/>
        <v>0.36244541484716158</v>
      </c>
      <c r="E42" t="str">
        <f t="shared" si="1"/>
        <v>Medium</v>
      </c>
      <c r="F42">
        <v>0</v>
      </c>
      <c r="G42">
        <v>3.9</v>
      </c>
      <c r="H42" t="str">
        <f t="shared" si="2"/>
        <v>Medium</v>
      </c>
      <c r="I42">
        <f t="shared" si="3"/>
        <v>0</v>
      </c>
    </row>
    <row r="43" spans="1:9" x14ac:dyDescent="0.35">
      <c r="A43" t="s">
        <v>61</v>
      </c>
      <c r="B43" s="1">
        <v>1459</v>
      </c>
      <c r="C43" s="1">
        <v>1499</v>
      </c>
      <c r="D43" s="2">
        <f t="shared" si="0"/>
        <v>2.6684456304202801E-2</v>
      </c>
      <c r="E43" t="str">
        <f t="shared" si="1"/>
        <v>Low</v>
      </c>
      <c r="F43">
        <v>0</v>
      </c>
      <c r="G43">
        <v>3.9</v>
      </c>
      <c r="H43" t="str">
        <f t="shared" si="2"/>
        <v>Medium</v>
      </c>
      <c r="I43">
        <f t="shared" si="3"/>
        <v>0</v>
      </c>
    </row>
    <row r="44" spans="1:9" x14ac:dyDescent="0.35">
      <c r="A44" t="s">
        <v>62</v>
      </c>
      <c r="B44" s="1">
        <v>1420</v>
      </c>
      <c r="C44" s="1">
        <v>2420</v>
      </c>
      <c r="D44" s="2">
        <f t="shared" si="0"/>
        <v>0.41322314049586778</v>
      </c>
      <c r="E44" t="str">
        <f t="shared" si="1"/>
        <v>High</v>
      </c>
      <c r="F44">
        <v>0</v>
      </c>
      <c r="G44">
        <v>3.9</v>
      </c>
      <c r="H44" t="str">
        <f t="shared" si="2"/>
        <v>Medium</v>
      </c>
      <c r="I44">
        <f t="shared" si="3"/>
        <v>0</v>
      </c>
    </row>
    <row r="45" spans="1:9" x14ac:dyDescent="0.35">
      <c r="A45" t="s">
        <v>63</v>
      </c>
      <c r="B45" s="1">
        <v>1350</v>
      </c>
      <c r="C45" s="1">
        <v>1990</v>
      </c>
      <c r="D45" s="2">
        <f t="shared" si="0"/>
        <v>0.32160804020100503</v>
      </c>
      <c r="E45" t="str">
        <f t="shared" si="1"/>
        <v>Medium</v>
      </c>
      <c r="F45">
        <v>-13</v>
      </c>
      <c r="G45">
        <v>3.8</v>
      </c>
      <c r="H45" t="str">
        <f t="shared" si="2"/>
        <v>Medium</v>
      </c>
      <c r="I45">
        <f t="shared" si="3"/>
        <v>13</v>
      </c>
    </row>
    <row r="46" spans="1:9" x14ac:dyDescent="0.35">
      <c r="A46" t="s">
        <v>64</v>
      </c>
      <c r="B46" s="1">
        <v>1300</v>
      </c>
      <c r="C46" s="1">
        <v>2500</v>
      </c>
      <c r="D46" s="2">
        <f t="shared" si="0"/>
        <v>0.48</v>
      </c>
      <c r="E46" t="str">
        <f t="shared" si="1"/>
        <v>High</v>
      </c>
      <c r="F46">
        <v>0</v>
      </c>
      <c r="G46">
        <v>3.9</v>
      </c>
      <c r="H46" t="str">
        <f t="shared" si="2"/>
        <v>Medium</v>
      </c>
      <c r="I46">
        <f t="shared" si="3"/>
        <v>0</v>
      </c>
    </row>
    <row r="47" spans="1:9" x14ac:dyDescent="0.35">
      <c r="A47" t="s">
        <v>65</v>
      </c>
      <c r="B47" s="1">
        <v>1274</v>
      </c>
      <c r="C47" s="1">
        <v>2800</v>
      </c>
      <c r="D47" s="2">
        <f t="shared" si="0"/>
        <v>0.54500000000000004</v>
      </c>
      <c r="E47" t="str">
        <f t="shared" si="1"/>
        <v>High</v>
      </c>
      <c r="F47">
        <v>-5</v>
      </c>
      <c r="G47">
        <v>4.8</v>
      </c>
      <c r="H47" t="str">
        <f t="shared" si="2"/>
        <v>Excellent</v>
      </c>
      <c r="I47">
        <f t="shared" si="3"/>
        <v>5</v>
      </c>
    </row>
    <row r="48" spans="1:9" x14ac:dyDescent="0.35">
      <c r="A48" t="s">
        <v>66</v>
      </c>
      <c r="B48" s="1">
        <v>1220</v>
      </c>
      <c r="C48" s="1">
        <v>1555</v>
      </c>
      <c r="D48" s="2">
        <f t="shared" si="0"/>
        <v>0.21543408360128619</v>
      </c>
      <c r="E48" t="str">
        <f t="shared" si="1"/>
        <v>Medium</v>
      </c>
      <c r="F48">
        <v>-16</v>
      </c>
      <c r="G48">
        <v>2.9</v>
      </c>
      <c r="H48" t="str">
        <f t="shared" si="2"/>
        <v>Poor</v>
      </c>
      <c r="I48">
        <f t="shared" si="3"/>
        <v>16</v>
      </c>
    </row>
    <row r="49" spans="1:9" x14ac:dyDescent="0.35">
      <c r="A49" t="s">
        <v>67</v>
      </c>
      <c r="B49" s="1">
        <v>1200</v>
      </c>
      <c r="C49" s="1">
        <v>2400</v>
      </c>
      <c r="D49" s="2">
        <f t="shared" si="0"/>
        <v>0.5</v>
      </c>
      <c r="E49" t="str">
        <f t="shared" si="1"/>
        <v>High</v>
      </c>
      <c r="F49">
        <v>0</v>
      </c>
      <c r="G49">
        <v>3.9</v>
      </c>
      <c r="H49" t="str">
        <f t="shared" si="2"/>
        <v>Medium</v>
      </c>
      <c r="I49">
        <f t="shared" si="3"/>
        <v>0</v>
      </c>
    </row>
    <row r="50" spans="1:9" x14ac:dyDescent="0.35">
      <c r="A50" t="s">
        <v>68</v>
      </c>
      <c r="B50" s="1">
        <v>1200</v>
      </c>
      <c r="C50" s="1">
        <v>1950</v>
      </c>
      <c r="D50" s="2">
        <f t="shared" si="0"/>
        <v>0.38461538461538464</v>
      </c>
      <c r="E50" t="str">
        <f t="shared" si="1"/>
        <v>Medium</v>
      </c>
      <c r="F50">
        <v>0</v>
      </c>
      <c r="G50">
        <v>3.9</v>
      </c>
      <c r="H50" t="str">
        <f t="shared" si="2"/>
        <v>Medium</v>
      </c>
      <c r="I50">
        <f t="shared" si="3"/>
        <v>0</v>
      </c>
    </row>
    <row r="51" spans="1:9" x14ac:dyDescent="0.35">
      <c r="A51" t="s">
        <v>69</v>
      </c>
      <c r="B51" s="1">
        <v>1190</v>
      </c>
      <c r="C51" s="1">
        <v>1785</v>
      </c>
      <c r="D51" s="2">
        <f t="shared" si="0"/>
        <v>0.33333333333333331</v>
      </c>
      <c r="E51" t="str">
        <f t="shared" si="1"/>
        <v>Medium</v>
      </c>
      <c r="F51">
        <v>0</v>
      </c>
      <c r="G51">
        <v>3.9</v>
      </c>
      <c r="H51" t="str">
        <f t="shared" si="2"/>
        <v>Medium</v>
      </c>
      <c r="I51">
        <f t="shared" si="3"/>
        <v>0</v>
      </c>
    </row>
    <row r="52" spans="1:9" x14ac:dyDescent="0.35">
      <c r="A52" t="s">
        <v>70</v>
      </c>
      <c r="B52" s="1">
        <v>1190</v>
      </c>
      <c r="C52" s="1">
        <v>1810</v>
      </c>
      <c r="D52" s="2">
        <f t="shared" si="0"/>
        <v>0.34254143646408841</v>
      </c>
      <c r="E52" t="str">
        <f t="shared" si="1"/>
        <v>Medium</v>
      </c>
      <c r="F52">
        <v>0</v>
      </c>
      <c r="G52">
        <v>3.9</v>
      </c>
      <c r="H52" t="str">
        <f t="shared" si="2"/>
        <v>Medium</v>
      </c>
      <c r="I52">
        <f t="shared" si="3"/>
        <v>0</v>
      </c>
    </row>
    <row r="53" spans="1:9" x14ac:dyDescent="0.35">
      <c r="A53" t="s">
        <v>71</v>
      </c>
      <c r="B53" s="1">
        <v>1189</v>
      </c>
      <c r="C53" s="1">
        <v>2199</v>
      </c>
      <c r="D53" s="2">
        <f t="shared" si="0"/>
        <v>0.45929968167348795</v>
      </c>
      <c r="E53" t="str">
        <f t="shared" si="1"/>
        <v>High</v>
      </c>
      <c r="F53">
        <v>-1</v>
      </c>
      <c r="G53">
        <v>3</v>
      </c>
      <c r="H53" t="str">
        <f t="shared" si="2"/>
        <v>Medium</v>
      </c>
      <c r="I53">
        <f t="shared" si="3"/>
        <v>1</v>
      </c>
    </row>
    <row r="54" spans="1:9" x14ac:dyDescent="0.35">
      <c r="A54" t="s">
        <v>72</v>
      </c>
      <c r="B54" s="1">
        <v>1150</v>
      </c>
      <c r="C54" s="1">
        <v>1737</v>
      </c>
      <c r="D54" s="2">
        <f t="shared" si="0"/>
        <v>0.3379389752446747</v>
      </c>
      <c r="E54" t="str">
        <f t="shared" si="1"/>
        <v>Medium</v>
      </c>
      <c r="F54">
        <v>0</v>
      </c>
      <c r="G54">
        <v>3.9</v>
      </c>
      <c r="H54" t="str">
        <f t="shared" si="2"/>
        <v>Medium</v>
      </c>
      <c r="I54">
        <f t="shared" si="3"/>
        <v>0</v>
      </c>
    </row>
    <row r="55" spans="1:9" x14ac:dyDescent="0.35">
      <c r="A55" t="s">
        <v>73</v>
      </c>
      <c r="B55" s="1">
        <v>1080</v>
      </c>
      <c r="C55" s="1">
        <v>1874</v>
      </c>
      <c r="D55" s="2">
        <f t="shared" si="0"/>
        <v>0.42369263607257202</v>
      </c>
      <c r="E55" t="str">
        <f t="shared" si="1"/>
        <v>High</v>
      </c>
      <c r="F55">
        <v>0</v>
      </c>
      <c r="G55">
        <v>3.9</v>
      </c>
      <c r="H55" t="str">
        <f t="shared" si="2"/>
        <v>Medium</v>
      </c>
      <c r="I55">
        <f t="shared" si="3"/>
        <v>0</v>
      </c>
    </row>
    <row r="56" spans="1:9" x14ac:dyDescent="0.35">
      <c r="A56" t="s">
        <v>74</v>
      </c>
      <c r="B56" s="1">
        <v>1000</v>
      </c>
      <c r="C56" s="1">
        <v>2000</v>
      </c>
      <c r="D56" s="2">
        <f t="shared" si="0"/>
        <v>0.5</v>
      </c>
      <c r="E56" t="str">
        <f t="shared" si="1"/>
        <v>High</v>
      </c>
      <c r="F56">
        <v>-7</v>
      </c>
      <c r="G56">
        <v>2.2999999999999998</v>
      </c>
      <c r="H56" t="str">
        <f t="shared" si="2"/>
        <v>Poor</v>
      </c>
      <c r="I56">
        <f t="shared" si="3"/>
        <v>7</v>
      </c>
    </row>
    <row r="57" spans="1:9" x14ac:dyDescent="0.35">
      <c r="A57" t="s">
        <v>75</v>
      </c>
      <c r="B57" s="1">
        <v>999</v>
      </c>
      <c r="C57" s="1">
        <v>2000</v>
      </c>
      <c r="D57" s="2">
        <f t="shared" si="0"/>
        <v>0.50049999999999994</v>
      </c>
      <c r="E57" t="str">
        <f t="shared" si="1"/>
        <v>High</v>
      </c>
      <c r="F57">
        <v>0</v>
      </c>
      <c r="G57">
        <v>3.9</v>
      </c>
      <c r="H57" t="str">
        <f t="shared" si="2"/>
        <v>Medium</v>
      </c>
      <c r="I57">
        <f t="shared" si="3"/>
        <v>0</v>
      </c>
    </row>
    <row r="58" spans="1:9" x14ac:dyDescent="0.35">
      <c r="A58" t="s">
        <v>76</v>
      </c>
      <c r="B58" s="1">
        <v>998</v>
      </c>
      <c r="C58" s="1">
        <v>1966</v>
      </c>
      <c r="D58" s="2">
        <f t="shared" si="0"/>
        <v>0.49237029501525942</v>
      </c>
      <c r="E58" t="str">
        <f t="shared" si="1"/>
        <v>High</v>
      </c>
      <c r="F58">
        <v>-44</v>
      </c>
      <c r="G58">
        <v>4.5999999999999996</v>
      </c>
      <c r="H58" t="str">
        <f t="shared" si="2"/>
        <v>Excellent</v>
      </c>
      <c r="I58">
        <f t="shared" si="3"/>
        <v>44</v>
      </c>
    </row>
    <row r="59" spans="1:9" x14ac:dyDescent="0.35">
      <c r="A59" t="s">
        <v>77</v>
      </c>
      <c r="B59" s="1">
        <v>990</v>
      </c>
      <c r="C59" s="1">
        <v>1500</v>
      </c>
      <c r="D59" s="2">
        <f t="shared" si="0"/>
        <v>0.34</v>
      </c>
      <c r="E59" t="str">
        <f t="shared" si="1"/>
        <v>Medium</v>
      </c>
      <c r="F59">
        <v>-39</v>
      </c>
      <c r="G59">
        <v>4.7</v>
      </c>
      <c r="H59" t="str">
        <f t="shared" si="2"/>
        <v>Excellent</v>
      </c>
      <c r="I59">
        <f t="shared" si="3"/>
        <v>39</v>
      </c>
    </row>
    <row r="60" spans="1:9" x14ac:dyDescent="0.35">
      <c r="A60" t="s">
        <v>78</v>
      </c>
      <c r="B60" s="1">
        <v>990</v>
      </c>
      <c r="C60" s="1">
        <v>1814</v>
      </c>
      <c r="D60" s="2">
        <f t="shared" si="0"/>
        <v>0.45424476295479604</v>
      </c>
      <c r="E60" t="str">
        <f t="shared" si="1"/>
        <v>High</v>
      </c>
      <c r="F60">
        <v>-6</v>
      </c>
      <c r="G60">
        <v>2.2000000000000002</v>
      </c>
      <c r="H60" t="str">
        <f t="shared" si="2"/>
        <v>Poor</v>
      </c>
      <c r="I60">
        <f t="shared" si="3"/>
        <v>6</v>
      </c>
    </row>
    <row r="61" spans="1:9" x14ac:dyDescent="0.35">
      <c r="A61" t="s">
        <v>79</v>
      </c>
      <c r="B61" s="1">
        <v>988</v>
      </c>
      <c r="C61" s="1">
        <v>1580</v>
      </c>
      <c r="D61" s="2">
        <f t="shared" si="0"/>
        <v>0.37468354430379747</v>
      </c>
      <c r="E61" t="str">
        <f t="shared" si="1"/>
        <v>Medium</v>
      </c>
      <c r="F61">
        <v>-2</v>
      </c>
      <c r="G61">
        <v>4</v>
      </c>
      <c r="H61" t="str">
        <f t="shared" si="2"/>
        <v>Medium</v>
      </c>
      <c r="I61">
        <f t="shared" si="3"/>
        <v>2</v>
      </c>
    </row>
    <row r="62" spans="1:9" x14ac:dyDescent="0.35">
      <c r="A62" t="s">
        <v>80</v>
      </c>
      <c r="B62" s="1">
        <v>980</v>
      </c>
      <c r="C62" s="1">
        <v>1490</v>
      </c>
      <c r="D62" s="2">
        <f t="shared" si="0"/>
        <v>0.34228187919463088</v>
      </c>
      <c r="E62" t="str">
        <f t="shared" si="1"/>
        <v>Medium</v>
      </c>
      <c r="F62">
        <v>-12</v>
      </c>
      <c r="G62">
        <v>4.7</v>
      </c>
      <c r="H62" t="str">
        <f t="shared" si="2"/>
        <v>Excellent</v>
      </c>
      <c r="I62">
        <f t="shared" si="3"/>
        <v>12</v>
      </c>
    </row>
    <row r="63" spans="1:9" x14ac:dyDescent="0.35">
      <c r="A63" t="s">
        <v>81</v>
      </c>
      <c r="B63" s="1">
        <v>979</v>
      </c>
      <c r="C63" s="1">
        <v>1920</v>
      </c>
      <c r="D63" s="2">
        <f t="shared" si="0"/>
        <v>0.49010416666666667</v>
      </c>
      <c r="E63" t="str">
        <f t="shared" si="1"/>
        <v>High</v>
      </c>
      <c r="F63">
        <v>-1</v>
      </c>
      <c r="G63">
        <v>5</v>
      </c>
      <c r="H63" t="str">
        <f t="shared" si="2"/>
        <v>Excellent</v>
      </c>
      <c r="I63">
        <f t="shared" si="3"/>
        <v>1</v>
      </c>
    </row>
    <row r="64" spans="1:9" x14ac:dyDescent="0.35">
      <c r="A64" t="s">
        <v>82</v>
      </c>
      <c r="B64" s="1">
        <v>968</v>
      </c>
      <c r="C64" s="1">
        <v>1814</v>
      </c>
      <c r="D64" s="2">
        <f t="shared" si="0"/>
        <v>0.46637265711135611</v>
      </c>
      <c r="E64" t="str">
        <f t="shared" si="1"/>
        <v>High</v>
      </c>
      <c r="F64">
        <v>-6</v>
      </c>
      <c r="G64">
        <v>2.2000000000000002</v>
      </c>
      <c r="H64" t="str">
        <f t="shared" si="2"/>
        <v>Poor</v>
      </c>
      <c r="I64">
        <f t="shared" si="3"/>
        <v>6</v>
      </c>
    </row>
    <row r="65" spans="1:9" x14ac:dyDescent="0.35">
      <c r="A65" t="s">
        <v>83</v>
      </c>
      <c r="B65" s="1">
        <v>950</v>
      </c>
      <c r="C65" s="1">
        <v>1525</v>
      </c>
      <c r="D65" s="2">
        <f t="shared" si="0"/>
        <v>0.37704918032786883</v>
      </c>
      <c r="E65" t="str">
        <f t="shared" si="1"/>
        <v>Medium</v>
      </c>
      <c r="F65">
        <v>-2</v>
      </c>
      <c r="G65">
        <v>4.5</v>
      </c>
      <c r="H65" t="str">
        <f t="shared" si="2"/>
        <v>Excellent</v>
      </c>
      <c r="I65">
        <f t="shared" si="3"/>
        <v>2</v>
      </c>
    </row>
    <row r="66" spans="1:9" x14ac:dyDescent="0.35">
      <c r="A66" t="s">
        <v>84</v>
      </c>
      <c r="B66" s="1">
        <v>899</v>
      </c>
      <c r="C66" s="1">
        <v>1699</v>
      </c>
      <c r="D66" s="2">
        <f t="shared" si="0"/>
        <v>0.47086521483225424</v>
      </c>
      <c r="E66" t="str">
        <f t="shared" si="1"/>
        <v>High</v>
      </c>
      <c r="F66">
        <v>0</v>
      </c>
      <c r="G66">
        <v>3.9</v>
      </c>
      <c r="H66" t="str">
        <f t="shared" si="2"/>
        <v>Medium</v>
      </c>
      <c r="I66">
        <f t="shared" si="3"/>
        <v>0</v>
      </c>
    </row>
    <row r="67" spans="1:9" x14ac:dyDescent="0.35">
      <c r="A67" t="s">
        <v>85</v>
      </c>
      <c r="B67" s="1">
        <v>880</v>
      </c>
      <c r="C67" s="1">
        <v>1350</v>
      </c>
      <c r="D67" s="2">
        <f t="shared" ref="D67:D113" si="4">(C67-B67)/C67</f>
        <v>0.34814814814814815</v>
      </c>
      <c r="E67" t="str">
        <f t="shared" ref="E67:E113" si="5">IF(D67&lt;0.2,"Low",IF(AND(D67&gt;=0.2,D67&lt;=0.4),"Medium","High"))</f>
        <v>Medium</v>
      </c>
      <c r="F67">
        <v>-6</v>
      </c>
      <c r="G67">
        <v>4</v>
      </c>
      <c r="H67" t="str">
        <f t="shared" ref="H67:H113" si="6">IF(G67&lt;3,"Poor",IF(AND(G67&gt;=3,G67&lt;=4.4),"Medium","Excellent"))</f>
        <v>Medium</v>
      </c>
      <c r="I67">
        <f t="shared" ref="I67:I113" si="7">ABS(F67)</f>
        <v>6</v>
      </c>
    </row>
    <row r="68" spans="1:9" x14ac:dyDescent="0.35">
      <c r="A68" t="s">
        <v>86</v>
      </c>
      <c r="B68" s="1">
        <v>850</v>
      </c>
      <c r="C68" s="1">
        <v>1700</v>
      </c>
      <c r="D68" s="2">
        <f t="shared" si="4"/>
        <v>0.5</v>
      </c>
      <c r="E68" t="str">
        <f t="shared" si="5"/>
        <v>High</v>
      </c>
      <c r="F68">
        <v>0</v>
      </c>
      <c r="G68">
        <v>3.9</v>
      </c>
      <c r="H68" t="str">
        <f t="shared" si="6"/>
        <v>Medium</v>
      </c>
      <c r="I68">
        <f t="shared" si="7"/>
        <v>0</v>
      </c>
    </row>
    <row r="69" spans="1:9" x14ac:dyDescent="0.35">
      <c r="A69" t="s">
        <v>87</v>
      </c>
      <c r="B69" s="1">
        <v>799</v>
      </c>
      <c r="C69" s="1">
        <v>1567</v>
      </c>
      <c r="D69" s="2">
        <f t="shared" si="4"/>
        <v>0.49010848755583919</v>
      </c>
      <c r="E69" t="str">
        <f t="shared" si="5"/>
        <v>High</v>
      </c>
      <c r="F69">
        <v>0</v>
      </c>
      <c r="G69">
        <v>3.9</v>
      </c>
      <c r="H69" t="str">
        <f t="shared" si="6"/>
        <v>Medium</v>
      </c>
      <c r="I69">
        <f t="shared" si="7"/>
        <v>0</v>
      </c>
    </row>
    <row r="70" spans="1:9" x14ac:dyDescent="0.35">
      <c r="A70" t="s">
        <v>88</v>
      </c>
      <c r="B70" s="1">
        <v>799</v>
      </c>
      <c r="C70" s="1">
        <v>1343</v>
      </c>
      <c r="D70" s="2">
        <f t="shared" si="4"/>
        <v>0.4050632911392405</v>
      </c>
      <c r="E70" t="str">
        <f t="shared" si="5"/>
        <v>High</v>
      </c>
      <c r="F70">
        <v>0</v>
      </c>
      <c r="G70">
        <v>3.9</v>
      </c>
      <c r="H70" t="str">
        <f t="shared" si="6"/>
        <v>Medium</v>
      </c>
      <c r="I70">
        <f t="shared" si="7"/>
        <v>0</v>
      </c>
    </row>
    <row r="71" spans="1:9" x14ac:dyDescent="0.35">
      <c r="A71" t="s">
        <v>89</v>
      </c>
      <c r="B71" s="1">
        <v>799</v>
      </c>
      <c r="C71" s="1">
        <v>999</v>
      </c>
      <c r="D71" s="2">
        <f t="shared" si="4"/>
        <v>0.20020020020020021</v>
      </c>
      <c r="E71" t="str">
        <f t="shared" si="5"/>
        <v>Medium</v>
      </c>
      <c r="F71">
        <v>-12</v>
      </c>
      <c r="G71">
        <v>4.0999999999999996</v>
      </c>
      <c r="H71" t="str">
        <f t="shared" si="6"/>
        <v>Medium</v>
      </c>
      <c r="I71">
        <f t="shared" si="7"/>
        <v>12</v>
      </c>
    </row>
    <row r="72" spans="1:9" x14ac:dyDescent="0.35">
      <c r="A72" t="s">
        <v>90</v>
      </c>
      <c r="B72" s="1">
        <v>799</v>
      </c>
      <c r="C72" s="1">
        <v>900</v>
      </c>
      <c r="D72" s="2">
        <f t="shared" si="4"/>
        <v>0.11222222222222222</v>
      </c>
      <c r="E72" t="str">
        <f t="shared" si="5"/>
        <v>Low</v>
      </c>
      <c r="F72">
        <v>0</v>
      </c>
      <c r="G72">
        <v>3.9</v>
      </c>
      <c r="H72" t="str">
        <f t="shared" si="6"/>
        <v>Medium</v>
      </c>
      <c r="I72">
        <f t="shared" si="7"/>
        <v>0</v>
      </c>
    </row>
    <row r="73" spans="1:9" x14ac:dyDescent="0.35">
      <c r="A73" t="s">
        <v>91</v>
      </c>
      <c r="B73" s="1">
        <v>790</v>
      </c>
      <c r="C73" s="1">
        <v>1485</v>
      </c>
      <c r="D73" s="2">
        <f t="shared" si="4"/>
        <v>0.46801346801346799</v>
      </c>
      <c r="E73" t="str">
        <f t="shared" si="5"/>
        <v>High</v>
      </c>
      <c r="F73">
        <v>0</v>
      </c>
      <c r="G73">
        <v>3.9</v>
      </c>
      <c r="H73" t="str">
        <f t="shared" si="6"/>
        <v>Medium</v>
      </c>
      <c r="I73">
        <f t="shared" si="7"/>
        <v>0</v>
      </c>
    </row>
    <row r="74" spans="1:9" x14ac:dyDescent="0.35">
      <c r="A74" t="s">
        <v>92</v>
      </c>
      <c r="B74" s="1">
        <v>699</v>
      </c>
      <c r="C74" s="1">
        <v>1343</v>
      </c>
      <c r="D74" s="2">
        <f t="shared" si="4"/>
        <v>0.47952345495160087</v>
      </c>
      <c r="E74" t="str">
        <f t="shared" si="5"/>
        <v>High</v>
      </c>
      <c r="F74">
        <v>0</v>
      </c>
      <c r="G74">
        <v>3.9</v>
      </c>
      <c r="H74" t="str">
        <f t="shared" si="6"/>
        <v>Medium</v>
      </c>
      <c r="I74">
        <f t="shared" si="7"/>
        <v>0</v>
      </c>
    </row>
    <row r="75" spans="1:9" x14ac:dyDescent="0.35">
      <c r="A75" t="s">
        <v>93</v>
      </c>
      <c r="B75" s="1">
        <v>690</v>
      </c>
      <c r="C75" s="1">
        <v>1200</v>
      </c>
      <c r="D75" s="2">
        <f t="shared" si="4"/>
        <v>0.42499999999999999</v>
      </c>
      <c r="E75" t="str">
        <f t="shared" si="5"/>
        <v>High</v>
      </c>
      <c r="F75">
        <v>0</v>
      </c>
      <c r="G75">
        <v>3.9</v>
      </c>
      <c r="H75" t="str">
        <f t="shared" si="6"/>
        <v>Medium</v>
      </c>
      <c r="I75">
        <f t="shared" si="7"/>
        <v>0</v>
      </c>
    </row>
    <row r="76" spans="1:9" x14ac:dyDescent="0.35">
      <c r="A76" t="s">
        <v>94</v>
      </c>
      <c r="B76" s="1">
        <v>671</v>
      </c>
      <c r="C76" s="1">
        <v>1316</v>
      </c>
      <c r="D76" s="2">
        <f t="shared" si="4"/>
        <v>0.49012158054711247</v>
      </c>
      <c r="E76" t="str">
        <f t="shared" si="5"/>
        <v>High</v>
      </c>
      <c r="F76">
        <v>0</v>
      </c>
      <c r="G76">
        <v>3.9</v>
      </c>
      <c r="H76" t="str">
        <f t="shared" si="6"/>
        <v>Medium</v>
      </c>
      <c r="I76">
        <f t="shared" si="7"/>
        <v>0</v>
      </c>
    </row>
    <row r="77" spans="1:9" x14ac:dyDescent="0.35">
      <c r="A77" t="s">
        <v>87</v>
      </c>
      <c r="B77" s="1">
        <v>657</v>
      </c>
      <c r="C77" s="1">
        <v>1288</v>
      </c>
      <c r="D77" s="2">
        <f t="shared" si="4"/>
        <v>0.48990683229813664</v>
      </c>
      <c r="E77" t="str">
        <f t="shared" si="5"/>
        <v>High</v>
      </c>
      <c r="F77">
        <v>0</v>
      </c>
      <c r="G77">
        <v>3.9</v>
      </c>
      <c r="H77" t="str">
        <f t="shared" si="6"/>
        <v>Medium</v>
      </c>
      <c r="I77">
        <f t="shared" si="7"/>
        <v>0</v>
      </c>
    </row>
    <row r="78" spans="1:9" x14ac:dyDescent="0.35">
      <c r="A78" t="s">
        <v>95</v>
      </c>
      <c r="B78" s="1">
        <v>630</v>
      </c>
      <c r="C78" s="1">
        <v>1100</v>
      </c>
      <c r="D78" s="2">
        <f t="shared" si="4"/>
        <v>0.42727272727272725</v>
      </c>
      <c r="E78" t="str">
        <f t="shared" si="5"/>
        <v>High</v>
      </c>
      <c r="F78">
        <v>0</v>
      </c>
      <c r="G78">
        <v>3.9</v>
      </c>
      <c r="H78" t="str">
        <f t="shared" si="6"/>
        <v>Medium</v>
      </c>
      <c r="I78">
        <f t="shared" si="7"/>
        <v>0</v>
      </c>
    </row>
    <row r="79" spans="1:9" x14ac:dyDescent="0.35">
      <c r="A79" t="s">
        <v>96</v>
      </c>
      <c r="B79" s="1">
        <v>610</v>
      </c>
      <c r="C79" s="1">
        <v>1060</v>
      </c>
      <c r="D79" s="2">
        <f t="shared" si="4"/>
        <v>0.42452830188679247</v>
      </c>
      <c r="E79" t="str">
        <f t="shared" si="5"/>
        <v>High</v>
      </c>
      <c r="F79">
        <v>0</v>
      </c>
      <c r="G79">
        <v>3.9</v>
      </c>
      <c r="H79" t="str">
        <f t="shared" si="6"/>
        <v>Medium</v>
      </c>
      <c r="I79">
        <f t="shared" si="7"/>
        <v>0</v>
      </c>
    </row>
    <row r="80" spans="1:9" x14ac:dyDescent="0.35">
      <c r="A80" t="s">
        <v>97</v>
      </c>
      <c r="B80" s="1">
        <v>552</v>
      </c>
      <c r="C80" s="1">
        <v>1035</v>
      </c>
      <c r="D80" s="2">
        <f t="shared" si="4"/>
        <v>0.46666666666666667</v>
      </c>
      <c r="E80" t="str">
        <f t="shared" si="5"/>
        <v>High</v>
      </c>
      <c r="F80">
        <v>-12</v>
      </c>
      <c r="G80">
        <v>4.8</v>
      </c>
      <c r="H80" t="str">
        <f t="shared" si="6"/>
        <v>Excellent</v>
      </c>
      <c r="I80">
        <f t="shared" si="7"/>
        <v>12</v>
      </c>
    </row>
    <row r="81" spans="1:9" x14ac:dyDescent="0.35">
      <c r="A81" t="s">
        <v>98</v>
      </c>
      <c r="B81" s="1">
        <v>527</v>
      </c>
      <c r="C81" s="1">
        <v>999</v>
      </c>
      <c r="D81" s="2">
        <f t="shared" si="4"/>
        <v>0.47247247247247248</v>
      </c>
      <c r="E81" t="str">
        <f t="shared" si="5"/>
        <v>High</v>
      </c>
      <c r="F81">
        <v>-14</v>
      </c>
      <c r="G81">
        <v>4.0999999999999996</v>
      </c>
      <c r="H81" t="str">
        <f t="shared" si="6"/>
        <v>Medium</v>
      </c>
      <c r="I81">
        <f t="shared" si="7"/>
        <v>14</v>
      </c>
    </row>
    <row r="82" spans="1:9" x14ac:dyDescent="0.35">
      <c r="A82" t="s">
        <v>99</v>
      </c>
      <c r="B82" s="1">
        <v>525</v>
      </c>
      <c r="C82" s="1">
        <v>1029</v>
      </c>
      <c r="D82" s="2">
        <f t="shared" si="4"/>
        <v>0.48979591836734693</v>
      </c>
      <c r="E82" t="str">
        <f t="shared" si="5"/>
        <v>High</v>
      </c>
      <c r="F82">
        <v>0</v>
      </c>
      <c r="G82">
        <v>3.9</v>
      </c>
      <c r="H82" t="str">
        <f t="shared" si="6"/>
        <v>Medium</v>
      </c>
      <c r="I82">
        <f t="shared" si="7"/>
        <v>0</v>
      </c>
    </row>
    <row r="83" spans="1:9" x14ac:dyDescent="0.35">
      <c r="A83" t="s">
        <v>100</v>
      </c>
      <c r="B83" s="1">
        <v>509</v>
      </c>
      <c r="C83" s="1">
        <v>899</v>
      </c>
      <c r="D83" s="2">
        <f t="shared" si="4"/>
        <v>0.43381535038932145</v>
      </c>
      <c r="E83" t="str">
        <f t="shared" si="5"/>
        <v>High</v>
      </c>
      <c r="F83">
        <v>-5</v>
      </c>
      <c r="G83">
        <v>3</v>
      </c>
      <c r="H83" t="str">
        <f t="shared" si="6"/>
        <v>Medium</v>
      </c>
      <c r="I83">
        <f t="shared" si="7"/>
        <v>5</v>
      </c>
    </row>
    <row r="84" spans="1:9" x14ac:dyDescent="0.35">
      <c r="A84" t="s">
        <v>101</v>
      </c>
      <c r="B84" s="1">
        <v>501</v>
      </c>
      <c r="C84" s="1">
        <v>860</v>
      </c>
      <c r="D84" s="2">
        <f t="shared" si="4"/>
        <v>0.41744186046511628</v>
      </c>
      <c r="E84" t="str">
        <f t="shared" si="5"/>
        <v>High</v>
      </c>
      <c r="F84">
        <v>-6</v>
      </c>
      <c r="G84">
        <v>4.5</v>
      </c>
      <c r="H84" t="str">
        <f t="shared" si="6"/>
        <v>Excellent</v>
      </c>
      <c r="I84">
        <f t="shared" si="7"/>
        <v>6</v>
      </c>
    </row>
    <row r="85" spans="1:9" x14ac:dyDescent="0.35">
      <c r="A85" t="s">
        <v>102</v>
      </c>
      <c r="B85" s="1">
        <v>499</v>
      </c>
      <c r="C85" s="1">
        <v>900</v>
      </c>
      <c r="D85" s="2">
        <f t="shared" si="4"/>
        <v>0.44555555555555554</v>
      </c>
      <c r="E85" t="str">
        <f t="shared" si="5"/>
        <v>High</v>
      </c>
      <c r="F85">
        <v>0</v>
      </c>
      <c r="G85">
        <v>3.9</v>
      </c>
      <c r="H85" t="str">
        <f t="shared" si="6"/>
        <v>Medium</v>
      </c>
      <c r="I85">
        <f t="shared" si="7"/>
        <v>0</v>
      </c>
    </row>
    <row r="86" spans="1:9" x14ac:dyDescent="0.35">
      <c r="A86" t="s">
        <v>103</v>
      </c>
      <c r="B86" s="1">
        <v>475</v>
      </c>
      <c r="C86" s="1">
        <v>931</v>
      </c>
      <c r="D86" s="2">
        <f t="shared" si="4"/>
        <v>0.48979591836734693</v>
      </c>
      <c r="E86" t="str">
        <f t="shared" si="5"/>
        <v>High</v>
      </c>
      <c r="F86">
        <v>0</v>
      </c>
      <c r="G86">
        <v>3.9</v>
      </c>
      <c r="H86" t="str">
        <f t="shared" si="6"/>
        <v>Medium</v>
      </c>
      <c r="I86">
        <f t="shared" si="7"/>
        <v>0</v>
      </c>
    </row>
    <row r="87" spans="1:9" x14ac:dyDescent="0.35">
      <c r="A87" t="s">
        <v>104</v>
      </c>
      <c r="B87" s="1">
        <v>458</v>
      </c>
      <c r="C87" s="1">
        <v>986</v>
      </c>
      <c r="D87" s="2">
        <f t="shared" si="4"/>
        <v>0.53549695740365111</v>
      </c>
      <c r="E87" t="str">
        <f t="shared" si="5"/>
        <v>High</v>
      </c>
      <c r="F87">
        <v>-10</v>
      </c>
      <c r="G87">
        <v>3</v>
      </c>
      <c r="H87" t="str">
        <f t="shared" si="6"/>
        <v>Medium</v>
      </c>
      <c r="I87">
        <f t="shared" si="7"/>
        <v>10</v>
      </c>
    </row>
    <row r="88" spans="1:9" x14ac:dyDescent="0.35">
      <c r="A88" t="s">
        <v>105</v>
      </c>
      <c r="B88" s="1">
        <v>450</v>
      </c>
      <c r="C88" s="1">
        <v>900</v>
      </c>
      <c r="D88" s="2">
        <f t="shared" si="4"/>
        <v>0.5</v>
      </c>
      <c r="E88" t="str">
        <f t="shared" si="5"/>
        <v>High</v>
      </c>
      <c r="F88">
        <v>-1</v>
      </c>
      <c r="G88">
        <v>2</v>
      </c>
      <c r="H88" t="str">
        <f t="shared" si="6"/>
        <v>Poor</v>
      </c>
      <c r="I88">
        <f t="shared" si="7"/>
        <v>1</v>
      </c>
    </row>
    <row r="89" spans="1:9" x14ac:dyDescent="0.35">
      <c r="A89" t="s">
        <v>106</v>
      </c>
      <c r="B89" s="1">
        <v>445</v>
      </c>
      <c r="C89" s="1">
        <v>873</v>
      </c>
      <c r="D89" s="2">
        <f t="shared" si="4"/>
        <v>0.49026345933562426</v>
      </c>
      <c r="E89" t="str">
        <f t="shared" si="5"/>
        <v>High</v>
      </c>
      <c r="F89">
        <v>-69</v>
      </c>
      <c r="G89">
        <v>2.8</v>
      </c>
      <c r="H89" t="str">
        <f t="shared" si="6"/>
        <v>Poor</v>
      </c>
      <c r="I89">
        <f t="shared" si="7"/>
        <v>69</v>
      </c>
    </row>
    <row r="90" spans="1:9" x14ac:dyDescent="0.35">
      <c r="A90" t="s">
        <v>107</v>
      </c>
      <c r="B90" s="1">
        <v>420</v>
      </c>
      <c r="C90" s="1">
        <v>647</v>
      </c>
      <c r="D90" s="2">
        <f t="shared" si="4"/>
        <v>0.3508500772797527</v>
      </c>
      <c r="E90" t="str">
        <f t="shared" si="5"/>
        <v>Medium</v>
      </c>
      <c r="F90">
        <v>-49</v>
      </c>
      <c r="G90">
        <v>4.5999999999999996</v>
      </c>
      <c r="H90" t="str">
        <f t="shared" si="6"/>
        <v>Excellent</v>
      </c>
      <c r="I90">
        <f t="shared" si="7"/>
        <v>49</v>
      </c>
    </row>
    <row r="91" spans="1:9" x14ac:dyDescent="0.35">
      <c r="A91" t="s">
        <v>102</v>
      </c>
      <c r="B91" s="1">
        <v>399</v>
      </c>
      <c r="C91" s="1">
        <v>896</v>
      </c>
      <c r="D91" s="2">
        <f t="shared" si="4"/>
        <v>0.5546875</v>
      </c>
      <c r="E91" t="str">
        <f t="shared" si="5"/>
        <v>High</v>
      </c>
      <c r="F91">
        <v>0</v>
      </c>
      <c r="G91">
        <v>3.9</v>
      </c>
      <c r="H91" t="str">
        <f t="shared" si="6"/>
        <v>Medium</v>
      </c>
      <c r="I91">
        <f t="shared" si="7"/>
        <v>0</v>
      </c>
    </row>
    <row r="92" spans="1:9" x14ac:dyDescent="0.35">
      <c r="A92" t="s">
        <v>108</v>
      </c>
      <c r="B92" s="1">
        <v>389</v>
      </c>
      <c r="C92" s="1">
        <v>656</v>
      </c>
      <c r="D92" s="2">
        <f t="shared" si="4"/>
        <v>0.40701219512195119</v>
      </c>
      <c r="E92" t="str">
        <f t="shared" si="5"/>
        <v>High</v>
      </c>
      <c r="F92">
        <v>-36</v>
      </c>
      <c r="G92">
        <v>4.3</v>
      </c>
      <c r="H92" t="str">
        <f t="shared" si="6"/>
        <v>Medium</v>
      </c>
      <c r="I92">
        <f t="shared" si="7"/>
        <v>36</v>
      </c>
    </row>
    <row r="93" spans="1:9" x14ac:dyDescent="0.35">
      <c r="A93" t="s">
        <v>109</v>
      </c>
      <c r="B93" s="1">
        <v>382</v>
      </c>
      <c r="C93" s="1">
        <v>700</v>
      </c>
      <c r="D93" s="2">
        <f t="shared" si="4"/>
        <v>0.45428571428571429</v>
      </c>
      <c r="E93" t="str">
        <f t="shared" si="5"/>
        <v>High</v>
      </c>
      <c r="F93">
        <v>-17</v>
      </c>
      <c r="G93">
        <v>2.6</v>
      </c>
      <c r="H93" t="str">
        <f t="shared" si="6"/>
        <v>Poor</v>
      </c>
      <c r="I93">
        <f t="shared" si="7"/>
        <v>17</v>
      </c>
    </row>
    <row r="94" spans="1:9" x14ac:dyDescent="0.35">
      <c r="A94" t="s">
        <v>110</v>
      </c>
      <c r="B94" s="1">
        <v>345</v>
      </c>
      <c r="C94" s="1">
        <v>602</v>
      </c>
      <c r="D94" s="2">
        <f t="shared" si="4"/>
        <v>0.42691029900332228</v>
      </c>
      <c r="E94" t="str">
        <f t="shared" si="5"/>
        <v>High</v>
      </c>
      <c r="F94">
        <v>-6</v>
      </c>
      <c r="G94">
        <v>2.2999999999999998</v>
      </c>
      <c r="H94" t="str">
        <f t="shared" si="6"/>
        <v>Poor</v>
      </c>
      <c r="I94">
        <f t="shared" si="7"/>
        <v>6</v>
      </c>
    </row>
    <row r="95" spans="1:9" x14ac:dyDescent="0.35">
      <c r="A95" t="s">
        <v>111</v>
      </c>
      <c r="B95" s="1">
        <v>332</v>
      </c>
      <c r="C95" s="1">
        <v>684</v>
      </c>
      <c r="D95" s="2">
        <f t="shared" si="4"/>
        <v>0.51461988304093564</v>
      </c>
      <c r="E95" t="str">
        <f t="shared" si="5"/>
        <v>High</v>
      </c>
      <c r="F95">
        <v>-2</v>
      </c>
      <c r="G95">
        <v>5</v>
      </c>
      <c r="H95" t="str">
        <f t="shared" si="6"/>
        <v>Excellent</v>
      </c>
      <c r="I95">
        <f t="shared" si="7"/>
        <v>2</v>
      </c>
    </row>
    <row r="96" spans="1:9" x14ac:dyDescent="0.35">
      <c r="A96" t="s">
        <v>112</v>
      </c>
      <c r="B96" s="1">
        <v>330</v>
      </c>
      <c r="C96" s="1">
        <v>647</v>
      </c>
      <c r="D96" s="2">
        <f t="shared" si="4"/>
        <v>0.48995363214837712</v>
      </c>
      <c r="E96" t="str">
        <f t="shared" si="5"/>
        <v>High</v>
      </c>
      <c r="F96">
        <v>-1</v>
      </c>
      <c r="G96">
        <v>4</v>
      </c>
      <c r="H96" t="str">
        <f t="shared" si="6"/>
        <v>Medium</v>
      </c>
      <c r="I96">
        <f t="shared" si="7"/>
        <v>1</v>
      </c>
    </row>
    <row r="97" spans="1:9" x14ac:dyDescent="0.35">
      <c r="A97" t="s">
        <v>113</v>
      </c>
      <c r="B97" s="1">
        <v>325</v>
      </c>
      <c r="C97" s="1">
        <v>680</v>
      </c>
      <c r="D97" s="2">
        <f t="shared" si="4"/>
        <v>0.5220588235294118</v>
      </c>
      <c r="E97" t="str">
        <f t="shared" si="5"/>
        <v>High</v>
      </c>
      <c r="F97">
        <v>-15</v>
      </c>
      <c r="G97">
        <v>2.7</v>
      </c>
      <c r="H97" t="str">
        <f t="shared" si="6"/>
        <v>Poor</v>
      </c>
      <c r="I97">
        <f t="shared" si="7"/>
        <v>15</v>
      </c>
    </row>
    <row r="98" spans="1:9" x14ac:dyDescent="0.35">
      <c r="A98" t="s">
        <v>114</v>
      </c>
      <c r="B98" s="1">
        <v>299</v>
      </c>
      <c r="C98" s="1">
        <v>600</v>
      </c>
      <c r="D98" s="2">
        <f t="shared" si="4"/>
        <v>0.50166666666666671</v>
      </c>
      <c r="E98" t="str">
        <f t="shared" si="5"/>
        <v>High</v>
      </c>
      <c r="F98">
        <v>0</v>
      </c>
      <c r="G98">
        <v>3.9</v>
      </c>
      <c r="H98" t="str">
        <f t="shared" si="6"/>
        <v>Medium</v>
      </c>
      <c r="I98">
        <f t="shared" si="7"/>
        <v>0</v>
      </c>
    </row>
    <row r="99" spans="1:9" x14ac:dyDescent="0.35">
      <c r="A99" t="s">
        <v>115</v>
      </c>
      <c r="B99" s="1">
        <v>299</v>
      </c>
      <c r="C99" s="1">
        <v>384</v>
      </c>
      <c r="D99" s="2">
        <f t="shared" si="4"/>
        <v>0.22135416666666666</v>
      </c>
      <c r="E99" t="str">
        <f t="shared" si="5"/>
        <v>Medium</v>
      </c>
      <c r="F99">
        <v>0</v>
      </c>
      <c r="G99">
        <v>3.9</v>
      </c>
      <c r="H99" t="str">
        <f t="shared" si="6"/>
        <v>Medium</v>
      </c>
      <c r="I99">
        <f t="shared" si="7"/>
        <v>0</v>
      </c>
    </row>
    <row r="100" spans="1:9" x14ac:dyDescent="0.35">
      <c r="A100" t="s">
        <v>116</v>
      </c>
      <c r="B100" s="1">
        <v>274</v>
      </c>
      <c r="C100" s="1">
        <v>537</v>
      </c>
      <c r="D100" s="2">
        <f t="shared" si="4"/>
        <v>0.48975791433891991</v>
      </c>
      <c r="E100" t="str">
        <f t="shared" si="5"/>
        <v>High</v>
      </c>
      <c r="F100">
        <v>0</v>
      </c>
      <c r="G100">
        <v>3.9</v>
      </c>
      <c r="H100" t="str">
        <f t="shared" si="6"/>
        <v>Medium</v>
      </c>
      <c r="I100">
        <f t="shared" si="7"/>
        <v>0</v>
      </c>
    </row>
    <row r="101" spans="1:9" x14ac:dyDescent="0.35">
      <c r="A101" t="s">
        <v>117</v>
      </c>
      <c r="B101" s="1">
        <v>248</v>
      </c>
      <c r="C101" s="1">
        <v>486</v>
      </c>
      <c r="D101" s="2">
        <f t="shared" si="4"/>
        <v>0.48971193415637859</v>
      </c>
      <c r="E101" t="str">
        <f t="shared" si="5"/>
        <v>High</v>
      </c>
      <c r="F101">
        <v>0</v>
      </c>
      <c r="G101">
        <v>3.9</v>
      </c>
      <c r="H101" t="str">
        <f t="shared" si="6"/>
        <v>Medium</v>
      </c>
      <c r="I101">
        <f t="shared" si="7"/>
        <v>0</v>
      </c>
    </row>
    <row r="102" spans="1:9" x14ac:dyDescent="0.35">
      <c r="A102" t="s">
        <v>118</v>
      </c>
      <c r="B102" s="1">
        <v>238</v>
      </c>
      <c r="C102" s="1">
        <v>476</v>
      </c>
      <c r="D102" s="2">
        <f t="shared" si="4"/>
        <v>0.5</v>
      </c>
      <c r="E102" t="str">
        <f t="shared" si="5"/>
        <v>High</v>
      </c>
      <c r="F102">
        <v>0</v>
      </c>
      <c r="G102">
        <v>3.9</v>
      </c>
      <c r="H102" t="str">
        <f t="shared" si="6"/>
        <v>Medium</v>
      </c>
      <c r="I102">
        <f t="shared" si="7"/>
        <v>0</v>
      </c>
    </row>
    <row r="103" spans="1:9" x14ac:dyDescent="0.35">
      <c r="A103" t="s">
        <v>119</v>
      </c>
      <c r="B103" s="1">
        <v>230</v>
      </c>
      <c r="C103" s="1">
        <v>450</v>
      </c>
      <c r="D103" s="2">
        <f t="shared" si="4"/>
        <v>0.48888888888888887</v>
      </c>
      <c r="E103" t="str">
        <f t="shared" si="5"/>
        <v>High</v>
      </c>
      <c r="F103">
        <v>0</v>
      </c>
      <c r="G103">
        <v>3.9</v>
      </c>
      <c r="H103" t="str">
        <f t="shared" si="6"/>
        <v>Medium</v>
      </c>
      <c r="I103">
        <f t="shared" si="7"/>
        <v>0</v>
      </c>
    </row>
    <row r="104" spans="1:9" x14ac:dyDescent="0.35">
      <c r="A104" t="s">
        <v>120</v>
      </c>
      <c r="B104" s="1">
        <v>199</v>
      </c>
      <c r="C104" s="1">
        <v>553</v>
      </c>
      <c r="D104" s="2">
        <f t="shared" si="4"/>
        <v>0.64014466546112114</v>
      </c>
      <c r="E104" t="str">
        <f t="shared" si="5"/>
        <v>High</v>
      </c>
      <c r="F104">
        <v>0</v>
      </c>
      <c r="G104">
        <v>3.9</v>
      </c>
      <c r="H104" t="str">
        <f t="shared" si="6"/>
        <v>Medium</v>
      </c>
      <c r="I104">
        <f t="shared" si="7"/>
        <v>0</v>
      </c>
    </row>
    <row r="105" spans="1:9" x14ac:dyDescent="0.35">
      <c r="A105" t="s">
        <v>121</v>
      </c>
      <c r="B105" s="1">
        <v>199</v>
      </c>
      <c r="C105" s="1">
        <v>504</v>
      </c>
      <c r="D105" s="2">
        <f t="shared" si="4"/>
        <v>0.60515873015873012</v>
      </c>
      <c r="E105" t="str">
        <f t="shared" si="5"/>
        <v>High</v>
      </c>
      <c r="F105">
        <v>0</v>
      </c>
      <c r="G105">
        <v>3.9</v>
      </c>
      <c r="H105" t="str">
        <f t="shared" si="6"/>
        <v>Medium</v>
      </c>
      <c r="I105">
        <f t="shared" si="7"/>
        <v>0</v>
      </c>
    </row>
    <row r="106" spans="1:9" x14ac:dyDescent="0.35">
      <c r="A106" t="s">
        <v>122</v>
      </c>
      <c r="B106" s="1">
        <v>198</v>
      </c>
      <c r="C106" s="1">
        <v>260</v>
      </c>
      <c r="D106" s="2">
        <f t="shared" si="4"/>
        <v>0.23846153846153847</v>
      </c>
      <c r="E106" t="str">
        <f t="shared" si="5"/>
        <v>Medium</v>
      </c>
      <c r="F106">
        <v>0</v>
      </c>
      <c r="G106">
        <v>3.9</v>
      </c>
      <c r="H106" t="str">
        <f t="shared" si="6"/>
        <v>Medium</v>
      </c>
      <c r="I106">
        <f t="shared" si="7"/>
        <v>0</v>
      </c>
    </row>
    <row r="107" spans="1:9" x14ac:dyDescent="0.35">
      <c r="A107" t="s">
        <v>123</v>
      </c>
      <c r="B107" s="1">
        <v>195</v>
      </c>
      <c r="C107" s="1">
        <v>360</v>
      </c>
      <c r="D107" s="2">
        <f t="shared" si="4"/>
        <v>0.45833333333333331</v>
      </c>
      <c r="E107" t="str">
        <f t="shared" si="5"/>
        <v>High</v>
      </c>
      <c r="F107">
        <v>-2</v>
      </c>
      <c r="G107">
        <v>5</v>
      </c>
      <c r="H107" t="str">
        <f t="shared" si="6"/>
        <v>Excellent</v>
      </c>
      <c r="I107">
        <f t="shared" si="7"/>
        <v>2</v>
      </c>
    </row>
    <row r="108" spans="1:9" x14ac:dyDescent="0.35">
      <c r="A108" t="s">
        <v>124</v>
      </c>
      <c r="B108" s="1">
        <v>185</v>
      </c>
      <c r="C108" s="1">
        <v>382</v>
      </c>
      <c r="D108" s="2">
        <f t="shared" si="4"/>
        <v>0.51570680628272247</v>
      </c>
      <c r="E108" t="str">
        <f t="shared" si="5"/>
        <v>High</v>
      </c>
      <c r="F108">
        <v>-9</v>
      </c>
      <c r="G108">
        <v>4.3</v>
      </c>
      <c r="H108" t="str">
        <f t="shared" si="6"/>
        <v>Medium</v>
      </c>
      <c r="I108">
        <f t="shared" si="7"/>
        <v>9</v>
      </c>
    </row>
    <row r="109" spans="1:9" x14ac:dyDescent="0.35">
      <c r="A109" t="s">
        <v>121</v>
      </c>
      <c r="B109" s="1">
        <v>176</v>
      </c>
      <c r="C109" s="1">
        <v>345</v>
      </c>
      <c r="D109" s="2">
        <f t="shared" si="4"/>
        <v>0.48985507246376814</v>
      </c>
      <c r="E109" t="str">
        <f t="shared" si="5"/>
        <v>High</v>
      </c>
      <c r="F109">
        <v>0</v>
      </c>
      <c r="G109">
        <v>3.9</v>
      </c>
      <c r="H109" t="str">
        <f t="shared" si="6"/>
        <v>Medium</v>
      </c>
      <c r="I109">
        <f t="shared" si="7"/>
        <v>0</v>
      </c>
    </row>
    <row r="110" spans="1:9" x14ac:dyDescent="0.35">
      <c r="A110" t="s">
        <v>125</v>
      </c>
      <c r="B110" s="1">
        <v>171</v>
      </c>
      <c r="C110" s="1">
        <v>360</v>
      </c>
      <c r="D110" s="2">
        <f t="shared" si="4"/>
        <v>0.52500000000000002</v>
      </c>
      <c r="E110" t="str">
        <f t="shared" si="5"/>
        <v>High</v>
      </c>
      <c r="F110">
        <v>-2</v>
      </c>
      <c r="G110">
        <v>5</v>
      </c>
      <c r="H110" t="str">
        <f t="shared" si="6"/>
        <v>Excellent</v>
      </c>
      <c r="I110">
        <f t="shared" si="7"/>
        <v>2</v>
      </c>
    </row>
    <row r="111" spans="1:9" x14ac:dyDescent="0.35">
      <c r="A111" t="s">
        <v>126</v>
      </c>
      <c r="B111" s="1">
        <v>169</v>
      </c>
      <c r="C111" s="1">
        <v>320</v>
      </c>
      <c r="D111" s="2">
        <f t="shared" si="4"/>
        <v>0.47187499999999999</v>
      </c>
      <c r="E111" t="str">
        <f t="shared" si="5"/>
        <v>High</v>
      </c>
      <c r="F111">
        <v>0</v>
      </c>
      <c r="G111">
        <v>3.9</v>
      </c>
      <c r="H111" t="str">
        <f t="shared" si="6"/>
        <v>Medium</v>
      </c>
      <c r="I111">
        <f t="shared" si="7"/>
        <v>0</v>
      </c>
    </row>
    <row r="112" spans="1:9" x14ac:dyDescent="0.35">
      <c r="A112" t="s">
        <v>127</v>
      </c>
      <c r="B112" s="1">
        <v>105</v>
      </c>
      <c r="C112" s="1">
        <v>200</v>
      </c>
      <c r="D112" s="2">
        <f t="shared" si="4"/>
        <v>0.47499999999999998</v>
      </c>
      <c r="E112" t="str">
        <f t="shared" si="5"/>
        <v>High</v>
      </c>
      <c r="F112">
        <v>0</v>
      </c>
      <c r="G112">
        <v>3.9</v>
      </c>
      <c r="H112" t="str">
        <f t="shared" si="6"/>
        <v>Medium</v>
      </c>
      <c r="I112">
        <f t="shared" si="7"/>
        <v>0</v>
      </c>
    </row>
    <row r="113" spans="1:9" x14ac:dyDescent="0.35">
      <c r="A113" t="s">
        <v>128</v>
      </c>
      <c r="B113" s="1">
        <v>38</v>
      </c>
      <c r="C113" s="1">
        <v>80</v>
      </c>
      <c r="D113" s="2">
        <f t="shared" si="4"/>
        <v>0.52500000000000002</v>
      </c>
      <c r="E113" t="str">
        <f t="shared" si="5"/>
        <v>High</v>
      </c>
      <c r="F113">
        <v>-13</v>
      </c>
      <c r="G113">
        <v>3.3</v>
      </c>
      <c r="H113" t="str">
        <f t="shared" si="6"/>
        <v>Medium</v>
      </c>
      <c r="I113">
        <f t="shared" si="7"/>
        <v>13</v>
      </c>
    </row>
  </sheetData>
  <autoFilter ref="A1:A113" xr:uid="{16E268CA-7043-4E14-BFED-C37CF8129BAE}"/>
  <conditionalFormatting sqref="A1:A113">
    <cfRule type="containsBlanks" priority="1">
      <formula>LEN(TRIM(A1))=0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401C0-3B7D-450B-97F2-FE0491A5BEED}">
  <sheetPr codeName="Sheet10" filterMode="1"/>
  <dimension ref="A1:O116"/>
  <sheetViews>
    <sheetView topLeftCell="A101" workbookViewId="0">
      <selection activeCell="A2" sqref="A1:I113"/>
    </sheetView>
  </sheetViews>
  <sheetFormatPr defaultRowHeight="14.5" x14ac:dyDescent="0.35"/>
  <cols>
    <col min="1" max="1" width="89.1796875" bestFit="1" customWidth="1"/>
    <col min="2" max="2" width="11.7265625" bestFit="1" customWidth="1"/>
    <col min="3" max="3" width="10.7265625" bestFit="1" customWidth="1"/>
    <col min="5" max="5" width="19.1796875" bestFit="1" customWidth="1"/>
    <col min="7" max="7" width="14.08984375" bestFit="1" customWidth="1"/>
    <col min="8" max="8" width="13.90625" bestFit="1" customWidth="1"/>
    <col min="9" max="9" width="10.90625" bestFit="1" customWidth="1"/>
    <col min="11" max="11" width="38.81640625" bestFit="1" customWidth="1"/>
    <col min="12" max="12" width="13.08984375" customWidth="1"/>
    <col min="13" max="13" width="12.1796875" customWidth="1"/>
    <col min="14" max="14" width="17.81640625" customWidth="1"/>
    <col min="15" max="15" width="10.81640625" customWidth="1"/>
  </cols>
  <sheetData>
    <row r="1" spans="1:15" x14ac:dyDescent="0.35">
      <c r="A1" s="3" t="s">
        <v>0</v>
      </c>
      <c r="B1" s="3" t="s">
        <v>1</v>
      </c>
      <c r="C1" s="3" t="s">
        <v>2</v>
      </c>
      <c r="D1" s="3" t="s">
        <v>3</v>
      </c>
      <c r="E1" s="3" t="s">
        <v>4</v>
      </c>
      <c r="F1" s="3" t="s">
        <v>5</v>
      </c>
      <c r="G1" s="3" t="s">
        <v>6</v>
      </c>
      <c r="H1" s="3" t="s">
        <v>7</v>
      </c>
      <c r="I1" s="3" t="s">
        <v>8</v>
      </c>
    </row>
    <row r="2" spans="1:15" x14ac:dyDescent="0.35">
      <c r="A2" t="s">
        <v>13</v>
      </c>
      <c r="B2" s="1">
        <v>3750</v>
      </c>
      <c r="C2" s="1">
        <v>6143</v>
      </c>
      <c r="D2" s="2">
        <f>(C2-B2)/C2</f>
        <v>0.38954908025394758</v>
      </c>
      <c r="E2" t="str">
        <f>IF(D2&lt;0.2,"Low",IF(AND(D2&gt;=0.2,D2&lt;=0.4),"Medium","High"))</f>
        <v>Medium</v>
      </c>
      <c r="F2">
        <v>-5</v>
      </c>
      <c r="G2">
        <v>3</v>
      </c>
      <c r="H2" t="str">
        <f>IF(G2&lt;3,"Poor",IF(AND(G2&gt;=3,G2&lt;=4.4),"Medium","Excellent"))</f>
        <v>Medium</v>
      </c>
      <c r="I2">
        <f>ABS(F2)</f>
        <v>5</v>
      </c>
      <c r="K2" s="6" t="s">
        <v>129</v>
      </c>
    </row>
    <row r="3" spans="1:15" x14ac:dyDescent="0.35">
      <c r="A3" t="s">
        <v>16</v>
      </c>
      <c r="B3" s="1">
        <v>3640</v>
      </c>
      <c r="C3" s="1">
        <v>4588</v>
      </c>
      <c r="D3" s="2">
        <f t="shared" ref="D3:D66" si="0">(C3-B3)/C3</f>
        <v>0.20662598081952921</v>
      </c>
      <c r="E3" t="str">
        <f t="shared" ref="E3:E66" si="1">IF(D3&lt;0.2,"Low",IF(AND(D3&gt;=0.2,D3&lt;=0.4),"Medium","High"))</f>
        <v>Medium</v>
      </c>
      <c r="F3">
        <v>-1</v>
      </c>
      <c r="G3">
        <v>5</v>
      </c>
      <c r="H3" t="str">
        <f t="shared" ref="H3:H66" si="2">IF(G3&lt;3,"Poor",IF(AND(G3&gt;=3,G3&lt;=4.4),"Medium","Excellent"))</f>
        <v>Excellent</v>
      </c>
      <c r="I3">
        <f t="shared" ref="I3:I66" si="3">ABS(F3)</f>
        <v>1</v>
      </c>
      <c r="K3" s="3" t="s">
        <v>130</v>
      </c>
    </row>
    <row r="4" spans="1:15" x14ac:dyDescent="0.35">
      <c r="A4" t="s">
        <v>19</v>
      </c>
      <c r="B4" s="1">
        <v>3546</v>
      </c>
      <c r="C4" s="1">
        <v>3699</v>
      </c>
      <c r="D4" s="2">
        <f t="shared" si="0"/>
        <v>4.1362530413625302E-2</v>
      </c>
      <c r="E4" t="str">
        <f t="shared" si="1"/>
        <v>Low</v>
      </c>
      <c r="F4">
        <v>0</v>
      </c>
      <c r="G4">
        <v>3.9</v>
      </c>
      <c r="H4" t="str">
        <f t="shared" si="2"/>
        <v>Medium</v>
      </c>
      <c r="I4">
        <f t="shared" si="3"/>
        <v>0</v>
      </c>
    </row>
    <row r="5" spans="1:15" x14ac:dyDescent="0.35">
      <c r="A5" t="s">
        <v>21</v>
      </c>
      <c r="B5" s="1">
        <v>2999</v>
      </c>
      <c r="C5" s="1">
        <v>3290</v>
      </c>
      <c r="D5" s="2">
        <f t="shared" si="0"/>
        <v>8.8449848024316116E-2</v>
      </c>
      <c r="E5" t="str">
        <f t="shared" si="1"/>
        <v>Low</v>
      </c>
      <c r="F5">
        <v>-15</v>
      </c>
      <c r="G5">
        <v>4</v>
      </c>
      <c r="H5" t="str">
        <f t="shared" si="2"/>
        <v>Medium</v>
      </c>
      <c r="I5">
        <f t="shared" si="3"/>
        <v>15</v>
      </c>
      <c r="L5" s="3" t="s">
        <v>9</v>
      </c>
      <c r="M5" s="4" t="s">
        <v>10</v>
      </c>
      <c r="N5" s="3" t="s">
        <v>11</v>
      </c>
      <c r="O5" s="4" t="s">
        <v>12</v>
      </c>
    </row>
    <row r="6" spans="1:15" x14ac:dyDescent="0.35">
      <c r="A6" t="s">
        <v>22</v>
      </c>
      <c r="B6" s="1">
        <v>2999</v>
      </c>
      <c r="C6" s="1">
        <v>3699</v>
      </c>
      <c r="D6" s="2">
        <f t="shared" si="0"/>
        <v>0.18924033522573669</v>
      </c>
      <c r="E6" t="str">
        <f t="shared" si="1"/>
        <v>Low</v>
      </c>
      <c r="F6">
        <v>-5</v>
      </c>
      <c r="G6">
        <v>4.5999999999999996</v>
      </c>
      <c r="H6" t="str">
        <f t="shared" si="2"/>
        <v>Excellent</v>
      </c>
      <c r="I6">
        <f t="shared" si="3"/>
        <v>5</v>
      </c>
      <c r="K6" s="3" t="s">
        <v>15</v>
      </c>
      <c r="L6" s="1">
        <f>AVERAGE(B2:B113)</f>
        <v>1186.8928571428571</v>
      </c>
      <c r="M6" s="1">
        <f>AVERAGE(C2:C113)</f>
        <v>1811.1071428571429</v>
      </c>
      <c r="N6" s="2">
        <f>AVERAGE(D2:D113)</f>
        <v>0.36714123251752756</v>
      </c>
      <c r="O6" s="5">
        <f>AVERAGE(G2:G113)</f>
        <v>3.8946428571428542</v>
      </c>
    </row>
    <row r="7" spans="1:15" x14ac:dyDescent="0.35">
      <c r="A7" t="s">
        <v>23</v>
      </c>
      <c r="B7" s="1">
        <v>2880</v>
      </c>
      <c r="C7" s="1">
        <v>3520</v>
      </c>
      <c r="D7" s="2">
        <f t="shared" si="0"/>
        <v>0.18181818181818182</v>
      </c>
      <c r="E7" t="str">
        <f t="shared" si="1"/>
        <v>Low</v>
      </c>
      <c r="F7">
        <v>-12</v>
      </c>
      <c r="G7">
        <v>3.8</v>
      </c>
      <c r="H7" t="str">
        <f t="shared" si="2"/>
        <v>Medium</v>
      </c>
      <c r="I7">
        <f t="shared" si="3"/>
        <v>12</v>
      </c>
      <c r="K7" s="3" t="s">
        <v>18</v>
      </c>
      <c r="L7" t="s">
        <v>13</v>
      </c>
    </row>
    <row r="8" spans="1:15" x14ac:dyDescent="0.35">
      <c r="A8" t="s">
        <v>24</v>
      </c>
      <c r="B8" s="1">
        <v>2799</v>
      </c>
      <c r="C8" s="1">
        <v>3810</v>
      </c>
      <c r="D8" s="2">
        <f t="shared" si="0"/>
        <v>0.26535433070866143</v>
      </c>
      <c r="E8" t="str">
        <f t="shared" si="1"/>
        <v>Medium</v>
      </c>
      <c r="F8">
        <v>0</v>
      </c>
      <c r="G8">
        <v>3.9</v>
      </c>
      <c r="H8" t="str">
        <f t="shared" si="2"/>
        <v>Medium</v>
      </c>
      <c r="I8">
        <f t="shared" si="3"/>
        <v>0</v>
      </c>
    </row>
    <row r="9" spans="1:15" x14ac:dyDescent="0.35">
      <c r="A9" t="s">
        <v>25</v>
      </c>
      <c r="B9" s="1">
        <v>2750</v>
      </c>
      <c r="C9" s="1">
        <v>4471</v>
      </c>
      <c r="D9" s="2">
        <f t="shared" si="0"/>
        <v>0.38492507269067322</v>
      </c>
      <c r="E9" t="str">
        <f t="shared" si="1"/>
        <v>Medium</v>
      </c>
      <c r="F9">
        <v>0</v>
      </c>
      <c r="G9">
        <v>3.9</v>
      </c>
      <c r="H9" t="str">
        <f t="shared" si="2"/>
        <v>Medium</v>
      </c>
      <c r="I9">
        <f t="shared" si="3"/>
        <v>0</v>
      </c>
    </row>
    <row r="10" spans="1:15" x14ac:dyDescent="0.35">
      <c r="A10" t="s">
        <v>26</v>
      </c>
      <c r="B10" s="1">
        <v>2319</v>
      </c>
      <c r="C10" s="1">
        <v>3032</v>
      </c>
      <c r="D10" s="2">
        <f t="shared" si="0"/>
        <v>0.23515831134564644</v>
      </c>
      <c r="E10" t="str">
        <f t="shared" si="1"/>
        <v>Medium</v>
      </c>
      <c r="F10">
        <v>-55</v>
      </c>
      <c r="G10">
        <v>4.5999999999999996</v>
      </c>
      <c r="H10" t="str">
        <f t="shared" si="2"/>
        <v>Excellent</v>
      </c>
      <c r="I10">
        <f t="shared" si="3"/>
        <v>55</v>
      </c>
      <c r="K10" s="6" t="s">
        <v>139</v>
      </c>
    </row>
    <row r="11" spans="1:15" x14ac:dyDescent="0.35">
      <c r="A11" t="s">
        <v>27</v>
      </c>
      <c r="B11" s="1">
        <v>2300</v>
      </c>
      <c r="C11" s="1">
        <v>3240</v>
      </c>
      <c r="D11" s="2">
        <f t="shared" si="0"/>
        <v>0.29012345679012347</v>
      </c>
      <c r="E11" t="str">
        <f t="shared" si="1"/>
        <v>Medium</v>
      </c>
      <c r="F11">
        <v>-5</v>
      </c>
      <c r="G11">
        <v>3</v>
      </c>
      <c r="H11" t="str">
        <f t="shared" si="2"/>
        <v>Medium</v>
      </c>
      <c r="I11">
        <f t="shared" si="3"/>
        <v>5</v>
      </c>
      <c r="K11" s="3" t="s">
        <v>140</v>
      </c>
    </row>
    <row r="12" spans="1:15" x14ac:dyDescent="0.35">
      <c r="A12" t="s">
        <v>28</v>
      </c>
      <c r="B12" s="1">
        <v>2200</v>
      </c>
      <c r="C12" s="1">
        <v>4080</v>
      </c>
      <c r="D12" s="2">
        <f t="shared" si="0"/>
        <v>0.46078431372549017</v>
      </c>
      <c r="E12" t="str">
        <f t="shared" si="1"/>
        <v>High</v>
      </c>
      <c r="F12">
        <v>0</v>
      </c>
      <c r="G12">
        <v>3.9</v>
      </c>
      <c r="H12" t="str">
        <f t="shared" si="2"/>
        <v>Medium</v>
      </c>
      <c r="I12">
        <f t="shared" si="3"/>
        <v>0</v>
      </c>
      <c r="K12" s="3" t="s">
        <v>0</v>
      </c>
      <c r="L12" s="3" t="s">
        <v>3</v>
      </c>
    </row>
    <row r="13" spans="1:15" x14ac:dyDescent="0.35">
      <c r="A13" t="s">
        <v>30</v>
      </c>
      <c r="B13" s="1">
        <v>2199</v>
      </c>
      <c r="C13" s="1">
        <v>2923</v>
      </c>
      <c r="D13" s="2">
        <f t="shared" si="0"/>
        <v>0.24769072870338693</v>
      </c>
      <c r="E13" t="str">
        <f t="shared" si="1"/>
        <v>Medium</v>
      </c>
      <c r="F13">
        <v>-24</v>
      </c>
      <c r="G13">
        <v>4.5999999999999996</v>
      </c>
      <c r="H13" t="str">
        <f t="shared" si="2"/>
        <v>Excellent</v>
      </c>
      <c r="I13">
        <f t="shared" si="3"/>
        <v>24</v>
      </c>
      <c r="K13" t="s">
        <v>34</v>
      </c>
      <c r="L13" s="2">
        <v>0.55000000000000004</v>
      </c>
    </row>
    <row r="14" spans="1:15" x14ac:dyDescent="0.35">
      <c r="A14" t="s">
        <v>31</v>
      </c>
      <c r="B14" s="1">
        <v>2170</v>
      </c>
      <c r="C14" s="1">
        <v>2500</v>
      </c>
      <c r="D14" s="2">
        <f t="shared" si="0"/>
        <v>0.13200000000000001</v>
      </c>
      <c r="E14" t="str">
        <f t="shared" si="1"/>
        <v>Low</v>
      </c>
      <c r="F14">
        <v>-6</v>
      </c>
      <c r="G14">
        <v>2.5</v>
      </c>
      <c r="H14" t="str">
        <f t="shared" si="2"/>
        <v>Poor</v>
      </c>
      <c r="I14">
        <f t="shared" si="3"/>
        <v>6</v>
      </c>
      <c r="K14" t="s">
        <v>35</v>
      </c>
      <c r="L14" s="2">
        <v>0.54488888888888887</v>
      </c>
    </row>
    <row r="15" spans="1:15" x14ac:dyDescent="0.35">
      <c r="A15" t="s">
        <v>33</v>
      </c>
      <c r="B15" s="1">
        <v>2132</v>
      </c>
      <c r="C15" s="1">
        <v>2169</v>
      </c>
      <c r="D15" s="2">
        <f t="shared" si="0"/>
        <v>1.705855232826187E-2</v>
      </c>
      <c r="E15" t="str">
        <f t="shared" si="1"/>
        <v>Low</v>
      </c>
      <c r="F15">
        <v>0</v>
      </c>
      <c r="G15">
        <v>3.9</v>
      </c>
      <c r="H15" t="str">
        <f t="shared" si="2"/>
        <v>Medium</v>
      </c>
      <c r="I15">
        <f t="shared" si="3"/>
        <v>0</v>
      </c>
      <c r="K15" t="s">
        <v>65</v>
      </c>
      <c r="L15" s="2">
        <v>0.54500000000000004</v>
      </c>
    </row>
    <row r="16" spans="1:15" x14ac:dyDescent="0.35">
      <c r="A16" t="s">
        <v>34</v>
      </c>
      <c r="B16" s="1">
        <v>2115</v>
      </c>
      <c r="C16" s="1">
        <v>4700</v>
      </c>
      <c r="D16" s="2">
        <f t="shared" si="0"/>
        <v>0.55000000000000004</v>
      </c>
      <c r="E16" t="str">
        <f t="shared" si="1"/>
        <v>High</v>
      </c>
      <c r="F16">
        <v>-13</v>
      </c>
      <c r="G16">
        <v>2.1</v>
      </c>
      <c r="H16" t="str">
        <f t="shared" si="2"/>
        <v>Poor</v>
      </c>
      <c r="I16">
        <f t="shared" si="3"/>
        <v>13</v>
      </c>
      <c r="K16" t="s">
        <v>104</v>
      </c>
      <c r="L16" s="2">
        <v>0.53549695740365111</v>
      </c>
    </row>
    <row r="17" spans="1:12" x14ac:dyDescent="0.35">
      <c r="A17" t="s">
        <v>35</v>
      </c>
      <c r="B17" s="1">
        <v>2048</v>
      </c>
      <c r="C17" s="1">
        <v>4500</v>
      </c>
      <c r="D17" s="2">
        <f t="shared" si="0"/>
        <v>0.54488888888888887</v>
      </c>
      <c r="E17" t="str">
        <f t="shared" si="1"/>
        <v>High</v>
      </c>
      <c r="F17">
        <v>-7</v>
      </c>
      <c r="G17">
        <v>4.3</v>
      </c>
      <c r="H17" t="str">
        <f t="shared" si="2"/>
        <v>Medium</v>
      </c>
      <c r="I17">
        <f t="shared" si="3"/>
        <v>7</v>
      </c>
      <c r="K17" t="s">
        <v>102</v>
      </c>
      <c r="L17" s="2">
        <v>0.5546875</v>
      </c>
    </row>
    <row r="18" spans="1:12" x14ac:dyDescent="0.35">
      <c r="A18" t="s">
        <v>36</v>
      </c>
      <c r="B18" s="1">
        <v>2025</v>
      </c>
      <c r="C18" s="1">
        <v>3971</v>
      </c>
      <c r="D18" s="2">
        <f t="shared" si="0"/>
        <v>0.49005288340468395</v>
      </c>
      <c r="E18" t="str">
        <f t="shared" si="1"/>
        <v>High</v>
      </c>
      <c r="F18">
        <v>-3</v>
      </c>
      <c r="G18">
        <v>5</v>
      </c>
      <c r="H18" t="str">
        <f t="shared" si="2"/>
        <v>Excellent</v>
      </c>
      <c r="I18">
        <f t="shared" si="3"/>
        <v>3</v>
      </c>
      <c r="K18" t="s">
        <v>113</v>
      </c>
      <c r="L18" s="2">
        <v>0.5220588235294118</v>
      </c>
    </row>
    <row r="19" spans="1:12" x14ac:dyDescent="0.35">
      <c r="A19" t="s">
        <v>37</v>
      </c>
      <c r="B19" s="1">
        <v>1980</v>
      </c>
      <c r="C19" s="1">
        <v>2699</v>
      </c>
      <c r="D19" s="2">
        <f t="shared" si="0"/>
        <v>0.26639496109670247</v>
      </c>
      <c r="E19" t="str">
        <f t="shared" si="1"/>
        <v>Medium</v>
      </c>
      <c r="F19">
        <v>-32</v>
      </c>
      <c r="G19">
        <v>4.5</v>
      </c>
      <c r="H19" t="str">
        <f t="shared" si="2"/>
        <v>Excellent</v>
      </c>
      <c r="I19">
        <f t="shared" si="3"/>
        <v>32</v>
      </c>
      <c r="K19" t="s">
        <v>120</v>
      </c>
      <c r="L19" s="2">
        <v>0.64014466546112114</v>
      </c>
    </row>
    <row r="20" spans="1:12" x14ac:dyDescent="0.35">
      <c r="A20" t="s">
        <v>38</v>
      </c>
      <c r="B20" s="1">
        <v>1940</v>
      </c>
      <c r="C20" s="1">
        <v>2650</v>
      </c>
      <c r="D20" s="2">
        <f t="shared" si="0"/>
        <v>0.26792452830188679</v>
      </c>
      <c r="E20" t="str">
        <f t="shared" si="1"/>
        <v>Medium</v>
      </c>
      <c r="F20">
        <v>-20</v>
      </c>
      <c r="G20">
        <v>4.7</v>
      </c>
      <c r="H20" t="str">
        <f t="shared" si="2"/>
        <v>Excellent</v>
      </c>
      <c r="I20">
        <f t="shared" si="3"/>
        <v>20</v>
      </c>
      <c r="K20" t="s">
        <v>121</v>
      </c>
      <c r="L20" s="2">
        <v>0.60515873015873012</v>
      </c>
    </row>
    <row r="21" spans="1:12" x14ac:dyDescent="0.35">
      <c r="A21" t="s">
        <v>39</v>
      </c>
      <c r="B21" s="1">
        <v>1875</v>
      </c>
      <c r="C21" s="1">
        <v>1899</v>
      </c>
      <c r="D21" s="2">
        <f t="shared" si="0"/>
        <v>1.2638230647709321E-2</v>
      </c>
      <c r="E21" t="str">
        <f t="shared" si="1"/>
        <v>Low</v>
      </c>
      <c r="F21">
        <v>0</v>
      </c>
      <c r="G21">
        <v>3.9</v>
      </c>
      <c r="H21" t="str">
        <f t="shared" si="2"/>
        <v>Medium</v>
      </c>
      <c r="I21">
        <f t="shared" si="3"/>
        <v>0</v>
      </c>
      <c r="K21" t="s">
        <v>125</v>
      </c>
      <c r="L21" s="2">
        <v>0.52500000000000002</v>
      </c>
    </row>
    <row r="22" spans="1:12" x14ac:dyDescent="0.35">
      <c r="A22" t="s">
        <v>40</v>
      </c>
      <c r="B22" s="1">
        <v>1860</v>
      </c>
      <c r="C22" s="1">
        <v>3220</v>
      </c>
      <c r="D22" s="2">
        <f t="shared" si="0"/>
        <v>0.42236024844720499</v>
      </c>
      <c r="E22" t="str">
        <f t="shared" si="1"/>
        <v>High</v>
      </c>
      <c r="F22">
        <v>0</v>
      </c>
      <c r="G22">
        <v>3.9</v>
      </c>
      <c r="H22" t="str">
        <f t="shared" si="2"/>
        <v>Medium</v>
      </c>
      <c r="I22">
        <f t="shared" si="3"/>
        <v>0</v>
      </c>
      <c r="K22" t="s">
        <v>128</v>
      </c>
      <c r="L22" s="2">
        <v>0.52500000000000002</v>
      </c>
    </row>
    <row r="23" spans="1:12" x14ac:dyDescent="0.35">
      <c r="A23" t="s">
        <v>41</v>
      </c>
      <c r="B23" s="1">
        <v>1820</v>
      </c>
      <c r="C23" s="1">
        <v>3490</v>
      </c>
      <c r="D23" s="2">
        <f t="shared" si="0"/>
        <v>0.47851002865329512</v>
      </c>
      <c r="E23" t="str">
        <f t="shared" si="1"/>
        <v>High</v>
      </c>
      <c r="F23">
        <v>-9</v>
      </c>
      <c r="G23">
        <v>4.3</v>
      </c>
      <c r="H23" t="str">
        <f t="shared" si="2"/>
        <v>Medium</v>
      </c>
      <c r="I23">
        <f t="shared" si="3"/>
        <v>9</v>
      </c>
    </row>
    <row r="24" spans="1:12" x14ac:dyDescent="0.35">
      <c r="A24" t="s">
        <v>42</v>
      </c>
      <c r="B24" s="1">
        <v>1800</v>
      </c>
      <c r="C24" s="1">
        <v>2700</v>
      </c>
      <c r="D24" s="2">
        <f t="shared" si="0"/>
        <v>0.33333333333333331</v>
      </c>
      <c r="E24" t="str">
        <f t="shared" si="1"/>
        <v>Medium</v>
      </c>
      <c r="F24">
        <v>-2</v>
      </c>
      <c r="G24">
        <v>4.5</v>
      </c>
      <c r="H24" t="str">
        <f t="shared" si="2"/>
        <v>Excellent</v>
      </c>
      <c r="I24">
        <f t="shared" si="3"/>
        <v>2</v>
      </c>
      <c r="K24" s="3" t="s">
        <v>141</v>
      </c>
    </row>
    <row r="25" spans="1:12" x14ac:dyDescent="0.35">
      <c r="A25" t="s">
        <v>43</v>
      </c>
      <c r="B25" s="1">
        <v>1768</v>
      </c>
      <c r="C25" s="1">
        <v>1799</v>
      </c>
      <c r="D25" s="2">
        <f t="shared" si="0"/>
        <v>1.7231795441912175E-2</v>
      </c>
      <c r="E25" t="str">
        <f t="shared" si="1"/>
        <v>Low</v>
      </c>
      <c r="F25">
        <v>0</v>
      </c>
      <c r="G25">
        <v>3.9</v>
      </c>
      <c r="H25" t="str">
        <f t="shared" si="2"/>
        <v>Medium</v>
      </c>
      <c r="I25">
        <f t="shared" si="3"/>
        <v>0</v>
      </c>
      <c r="K25" s="3" t="s">
        <v>0</v>
      </c>
      <c r="L25" s="3" t="s">
        <v>8</v>
      </c>
    </row>
    <row r="26" spans="1:12" x14ac:dyDescent="0.35">
      <c r="A26" t="s">
        <v>44</v>
      </c>
      <c r="B26" s="1">
        <v>1758</v>
      </c>
      <c r="C26" s="1">
        <v>2499</v>
      </c>
      <c r="D26" s="2">
        <f t="shared" si="0"/>
        <v>0.2965186074429772</v>
      </c>
      <c r="E26" t="str">
        <f t="shared" si="1"/>
        <v>Medium</v>
      </c>
      <c r="F26">
        <v>-20</v>
      </c>
      <c r="G26">
        <v>4.0999999999999996</v>
      </c>
      <c r="H26" t="str">
        <f t="shared" si="2"/>
        <v>Medium</v>
      </c>
      <c r="I26">
        <f t="shared" si="3"/>
        <v>20</v>
      </c>
      <c r="K26" t="s">
        <v>26</v>
      </c>
      <c r="L26">
        <v>55</v>
      </c>
    </row>
    <row r="27" spans="1:12" x14ac:dyDescent="0.35">
      <c r="A27" t="s">
        <v>45</v>
      </c>
      <c r="B27" s="1">
        <v>1740</v>
      </c>
      <c r="C27" s="1">
        <v>2356</v>
      </c>
      <c r="D27" s="2">
        <f t="shared" si="0"/>
        <v>0.26146010186757218</v>
      </c>
      <c r="E27" t="str">
        <f t="shared" si="1"/>
        <v>Medium</v>
      </c>
      <c r="F27">
        <v>-5</v>
      </c>
      <c r="G27">
        <v>4.8</v>
      </c>
      <c r="H27" t="str">
        <f t="shared" si="2"/>
        <v>Excellent</v>
      </c>
      <c r="I27">
        <f t="shared" si="3"/>
        <v>5</v>
      </c>
      <c r="K27" t="s">
        <v>30</v>
      </c>
      <c r="L27">
        <v>24</v>
      </c>
    </row>
    <row r="28" spans="1:12" x14ac:dyDescent="0.35">
      <c r="A28" t="s">
        <v>46</v>
      </c>
      <c r="B28" s="1">
        <v>1732</v>
      </c>
      <c r="C28" s="1">
        <v>1799</v>
      </c>
      <c r="D28" s="2">
        <f t="shared" si="0"/>
        <v>3.7242912729294052E-2</v>
      </c>
      <c r="E28" t="str">
        <f t="shared" si="1"/>
        <v>Low</v>
      </c>
      <c r="F28">
        <v>0</v>
      </c>
      <c r="G28">
        <v>3.9</v>
      </c>
      <c r="H28" t="str">
        <f t="shared" si="2"/>
        <v>Medium</v>
      </c>
      <c r="I28">
        <f t="shared" si="3"/>
        <v>0</v>
      </c>
      <c r="K28" t="s">
        <v>37</v>
      </c>
      <c r="L28">
        <v>32</v>
      </c>
    </row>
    <row r="29" spans="1:12" x14ac:dyDescent="0.35">
      <c r="A29" t="s">
        <v>47</v>
      </c>
      <c r="B29" s="1">
        <v>1680</v>
      </c>
      <c r="C29" s="1">
        <v>2499</v>
      </c>
      <c r="D29" s="2">
        <f t="shared" si="0"/>
        <v>0.32773109243697479</v>
      </c>
      <c r="E29" t="str">
        <f t="shared" si="1"/>
        <v>Medium</v>
      </c>
      <c r="F29">
        <v>-9</v>
      </c>
      <c r="G29">
        <v>4.2</v>
      </c>
      <c r="H29" t="str">
        <f t="shared" si="2"/>
        <v>Medium</v>
      </c>
      <c r="I29">
        <f t="shared" si="3"/>
        <v>9</v>
      </c>
      <c r="K29" t="s">
        <v>38</v>
      </c>
      <c r="L29">
        <v>20</v>
      </c>
    </row>
    <row r="30" spans="1:12" x14ac:dyDescent="0.35">
      <c r="A30" t="s">
        <v>48</v>
      </c>
      <c r="B30" s="1">
        <v>1666</v>
      </c>
      <c r="C30" s="1">
        <v>1699</v>
      </c>
      <c r="D30" s="2">
        <f t="shared" si="0"/>
        <v>1.9423190111830489E-2</v>
      </c>
      <c r="E30" t="str">
        <f t="shared" si="1"/>
        <v>Low</v>
      </c>
      <c r="F30">
        <v>0</v>
      </c>
      <c r="G30">
        <v>3.9</v>
      </c>
      <c r="H30" t="str">
        <f t="shared" si="2"/>
        <v>Medium</v>
      </c>
      <c r="I30">
        <f t="shared" si="3"/>
        <v>0</v>
      </c>
      <c r="K30" t="s">
        <v>44</v>
      </c>
      <c r="L30">
        <v>20</v>
      </c>
    </row>
    <row r="31" spans="1:12" x14ac:dyDescent="0.35">
      <c r="A31" t="s">
        <v>49</v>
      </c>
      <c r="B31" s="1">
        <v>1660</v>
      </c>
      <c r="C31" s="1">
        <v>1699</v>
      </c>
      <c r="D31" s="2">
        <f t="shared" si="0"/>
        <v>2.2954679223072396E-2</v>
      </c>
      <c r="E31" t="str">
        <f t="shared" si="1"/>
        <v>Low</v>
      </c>
      <c r="F31">
        <v>0</v>
      </c>
      <c r="G31">
        <v>3.9</v>
      </c>
      <c r="H31" t="str">
        <f t="shared" si="2"/>
        <v>Medium</v>
      </c>
      <c r="I31">
        <f t="shared" si="3"/>
        <v>0</v>
      </c>
      <c r="K31" t="s">
        <v>76</v>
      </c>
      <c r="L31">
        <v>44</v>
      </c>
    </row>
    <row r="32" spans="1:12" x14ac:dyDescent="0.35">
      <c r="A32" t="s">
        <v>50</v>
      </c>
      <c r="B32" s="1">
        <v>1658</v>
      </c>
      <c r="C32" s="1">
        <v>1699</v>
      </c>
      <c r="D32" s="2">
        <f t="shared" si="0"/>
        <v>2.4131842260153032E-2</v>
      </c>
      <c r="E32" t="str">
        <f t="shared" si="1"/>
        <v>Low</v>
      </c>
      <c r="F32">
        <v>0</v>
      </c>
      <c r="G32">
        <v>3.9</v>
      </c>
      <c r="H32" t="str">
        <f t="shared" si="2"/>
        <v>Medium</v>
      </c>
      <c r="I32">
        <f t="shared" si="3"/>
        <v>0</v>
      </c>
      <c r="K32" t="s">
        <v>77</v>
      </c>
      <c r="L32">
        <v>39</v>
      </c>
    </row>
    <row r="33" spans="1:12" x14ac:dyDescent="0.35">
      <c r="A33" t="s">
        <v>51</v>
      </c>
      <c r="B33" s="1">
        <v>1650</v>
      </c>
      <c r="C33" s="1">
        <v>2150</v>
      </c>
      <c r="D33" s="2">
        <f t="shared" si="0"/>
        <v>0.23255813953488372</v>
      </c>
      <c r="E33" t="str">
        <f t="shared" si="1"/>
        <v>Medium</v>
      </c>
      <c r="F33">
        <v>-14</v>
      </c>
      <c r="G33">
        <v>4.4000000000000004</v>
      </c>
      <c r="H33" t="str">
        <f t="shared" si="2"/>
        <v>Medium</v>
      </c>
      <c r="I33">
        <f t="shared" si="3"/>
        <v>14</v>
      </c>
      <c r="K33" t="s">
        <v>106</v>
      </c>
      <c r="L33">
        <v>69</v>
      </c>
    </row>
    <row r="34" spans="1:12" x14ac:dyDescent="0.35">
      <c r="A34" t="s">
        <v>52</v>
      </c>
      <c r="B34" s="1">
        <v>1620</v>
      </c>
      <c r="C34" s="1">
        <v>2690</v>
      </c>
      <c r="D34" s="2">
        <f t="shared" si="0"/>
        <v>0.39776951672862454</v>
      </c>
      <c r="E34" t="str">
        <f t="shared" si="1"/>
        <v>Medium</v>
      </c>
      <c r="F34">
        <v>-1</v>
      </c>
      <c r="G34">
        <v>5</v>
      </c>
      <c r="H34" t="str">
        <f t="shared" si="2"/>
        <v>Excellent</v>
      </c>
      <c r="I34">
        <f t="shared" si="3"/>
        <v>1</v>
      </c>
      <c r="K34" t="s">
        <v>107</v>
      </c>
      <c r="L34">
        <v>49</v>
      </c>
    </row>
    <row r="35" spans="1:12" x14ac:dyDescent="0.35">
      <c r="A35" t="s">
        <v>53</v>
      </c>
      <c r="B35" s="1">
        <v>1600</v>
      </c>
      <c r="C35" s="1">
        <v>2929</v>
      </c>
      <c r="D35" s="2">
        <f t="shared" si="0"/>
        <v>0.45373847729600547</v>
      </c>
      <c r="E35" t="str">
        <f t="shared" si="1"/>
        <v>High</v>
      </c>
      <c r="F35">
        <v>-5</v>
      </c>
      <c r="G35">
        <v>3.8</v>
      </c>
      <c r="H35" t="str">
        <f t="shared" si="2"/>
        <v>Medium</v>
      </c>
      <c r="I35">
        <f t="shared" si="3"/>
        <v>5</v>
      </c>
      <c r="K35" t="s">
        <v>108</v>
      </c>
      <c r="L35">
        <v>36</v>
      </c>
    </row>
    <row r="36" spans="1:12" x14ac:dyDescent="0.35">
      <c r="A36" t="s">
        <v>54</v>
      </c>
      <c r="B36" s="1">
        <v>1580</v>
      </c>
      <c r="C36" s="1">
        <v>2499</v>
      </c>
      <c r="D36" s="2">
        <f t="shared" si="0"/>
        <v>0.36774709883953582</v>
      </c>
      <c r="E36" t="str">
        <f t="shared" si="1"/>
        <v>Medium</v>
      </c>
      <c r="F36">
        <v>-7</v>
      </c>
      <c r="G36">
        <v>4.7</v>
      </c>
      <c r="H36" t="str">
        <f t="shared" si="2"/>
        <v>Excellent</v>
      </c>
      <c r="I36">
        <f t="shared" si="3"/>
        <v>7</v>
      </c>
    </row>
    <row r="37" spans="1:12" x14ac:dyDescent="0.35">
      <c r="A37" t="s">
        <v>55</v>
      </c>
      <c r="B37" s="1">
        <v>1570</v>
      </c>
      <c r="C37" s="1">
        <v>2988</v>
      </c>
      <c r="D37" s="2">
        <f t="shared" si="0"/>
        <v>0.4745649263721553</v>
      </c>
      <c r="E37" t="str">
        <f t="shared" si="1"/>
        <v>High</v>
      </c>
      <c r="F37">
        <v>-7</v>
      </c>
      <c r="G37">
        <v>2.1</v>
      </c>
      <c r="H37" t="str">
        <f t="shared" si="2"/>
        <v>Poor</v>
      </c>
      <c r="I37">
        <f t="shared" si="3"/>
        <v>7</v>
      </c>
      <c r="K37" s="3" t="s">
        <v>142</v>
      </c>
    </row>
    <row r="38" spans="1:12" x14ac:dyDescent="0.35">
      <c r="A38" t="s">
        <v>56</v>
      </c>
      <c r="B38" s="1">
        <v>1526</v>
      </c>
      <c r="C38" s="1">
        <v>1660</v>
      </c>
      <c r="D38" s="2">
        <f t="shared" si="0"/>
        <v>8.0722891566265054E-2</v>
      </c>
      <c r="E38" t="str">
        <f t="shared" si="1"/>
        <v>Low</v>
      </c>
      <c r="F38">
        <v>0</v>
      </c>
      <c r="G38">
        <v>3.9</v>
      </c>
      <c r="H38" t="str">
        <f t="shared" si="2"/>
        <v>Medium</v>
      </c>
      <c r="I38">
        <f t="shared" si="3"/>
        <v>0</v>
      </c>
      <c r="K38" s="3" t="s">
        <v>0</v>
      </c>
      <c r="L38" s="3" t="s">
        <v>6</v>
      </c>
    </row>
    <row r="39" spans="1:12" x14ac:dyDescent="0.35">
      <c r="A39" t="s">
        <v>57</v>
      </c>
      <c r="B39" s="1">
        <v>1468</v>
      </c>
      <c r="C39" s="1">
        <v>1699</v>
      </c>
      <c r="D39" s="2">
        <f t="shared" si="0"/>
        <v>0.13596233078281342</v>
      </c>
      <c r="E39" t="str">
        <f t="shared" si="1"/>
        <v>Low</v>
      </c>
      <c r="F39">
        <v>0</v>
      </c>
      <c r="G39">
        <v>3.9</v>
      </c>
      <c r="H39" t="str">
        <f t="shared" si="2"/>
        <v>Medium</v>
      </c>
      <c r="I39">
        <f t="shared" si="3"/>
        <v>0</v>
      </c>
      <c r="K39" t="s">
        <v>16</v>
      </c>
      <c r="L39">
        <v>5</v>
      </c>
    </row>
    <row r="40" spans="1:12" x14ac:dyDescent="0.35">
      <c r="A40" t="s">
        <v>58</v>
      </c>
      <c r="B40" s="1">
        <v>1466</v>
      </c>
      <c r="C40" s="1">
        <v>1699</v>
      </c>
      <c r="D40" s="2">
        <f t="shared" si="0"/>
        <v>0.13713949381989404</v>
      </c>
      <c r="E40" t="str">
        <f t="shared" si="1"/>
        <v>Low</v>
      </c>
      <c r="F40">
        <v>0</v>
      </c>
      <c r="G40">
        <v>3.9</v>
      </c>
      <c r="H40" t="str">
        <f t="shared" si="2"/>
        <v>Medium</v>
      </c>
      <c r="I40">
        <f t="shared" si="3"/>
        <v>0</v>
      </c>
      <c r="K40" t="s">
        <v>36</v>
      </c>
      <c r="L40">
        <v>5</v>
      </c>
    </row>
    <row r="41" spans="1:12" x14ac:dyDescent="0.35">
      <c r="A41" t="s">
        <v>59</v>
      </c>
      <c r="B41" s="1">
        <v>1462</v>
      </c>
      <c r="C41" s="1">
        <v>1499</v>
      </c>
      <c r="D41" s="2">
        <f t="shared" si="0"/>
        <v>2.4683122081387593E-2</v>
      </c>
      <c r="E41" t="str">
        <f t="shared" si="1"/>
        <v>Low</v>
      </c>
      <c r="F41">
        <v>0</v>
      </c>
      <c r="G41">
        <v>3.9</v>
      </c>
      <c r="H41" t="str">
        <f t="shared" si="2"/>
        <v>Medium</v>
      </c>
      <c r="I41">
        <f t="shared" si="3"/>
        <v>0</v>
      </c>
      <c r="K41" t="s">
        <v>52</v>
      </c>
      <c r="L41">
        <v>5</v>
      </c>
    </row>
    <row r="42" spans="1:12" x14ac:dyDescent="0.35">
      <c r="A42" t="s">
        <v>60</v>
      </c>
      <c r="B42" s="1">
        <v>1460</v>
      </c>
      <c r="C42" s="1">
        <v>2290</v>
      </c>
      <c r="D42" s="2">
        <f t="shared" si="0"/>
        <v>0.36244541484716158</v>
      </c>
      <c r="E42" t="str">
        <f t="shared" si="1"/>
        <v>Medium</v>
      </c>
      <c r="F42">
        <v>0</v>
      </c>
      <c r="G42">
        <v>3.9</v>
      </c>
      <c r="H42" t="str">
        <f t="shared" si="2"/>
        <v>Medium</v>
      </c>
      <c r="I42">
        <f t="shared" si="3"/>
        <v>0</v>
      </c>
      <c r="K42" t="s">
        <v>81</v>
      </c>
      <c r="L42">
        <v>5</v>
      </c>
    </row>
    <row r="43" spans="1:12" x14ac:dyDescent="0.35">
      <c r="A43" t="s">
        <v>61</v>
      </c>
      <c r="B43" s="1">
        <v>1459</v>
      </c>
      <c r="C43" s="1">
        <v>1499</v>
      </c>
      <c r="D43" s="2">
        <f t="shared" si="0"/>
        <v>2.6684456304202801E-2</v>
      </c>
      <c r="E43" t="str">
        <f t="shared" si="1"/>
        <v>Low</v>
      </c>
      <c r="F43">
        <v>0</v>
      </c>
      <c r="G43">
        <v>3.9</v>
      </c>
      <c r="H43" t="str">
        <f t="shared" si="2"/>
        <v>Medium</v>
      </c>
      <c r="I43">
        <f t="shared" si="3"/>
        <v>0</v>
      </c>
      <c r="K43" t="s">
        <v>111</v>
      </c>
      <c r="L43">
        <v>5</v>
      </c>
    </row>
    <row r="44" spans="1:12" x14ac:dyDescent="0.35">
      <c r="A44" t="s">
        <v>62</v>
      </c>
      <c r="B44" s="1">
        <v>1420</v>
      </c>
      <c r="C44" s="1">
        <v>2420</v>
      </c>
      <c r="D44" s="2">
        <f t="shared" si="0"/>
        <v>0.41322314049586778</v>
      </c>
      <c r="E44" t="str">
        <f t="shared" si="1"/>
        <v>High</v>
      </c>
      <c r="F44">
        <v>0</v>
      </c>
      <c r="G44">
        <v>3.9</v>
      </c>
      <c r="H44" t="str">
        <f t="shared" si="2"/>
        <v>Medium</v>
      </c>
      <c r="I44">
        <f t="shared" si="3"/>
        <v>0</v>
      </c>
      <c r="K44" t="s">
        <v>123</v>
      </c>
      <c r="L44">
        <v>5</v>
      </c>
    </row>
    <row r="45" spans="1:12" x14ac:dyDescent="0.35">
      <c r="A45" t="s">
        <v>63</v>
      </c>
      <c r="B45" s="1">
        <v>1350</v>
      </c>
      <c r="C45" s="1">
        <v>1990</v>
      </c>
      <c r="D45" s="2">
        <f t="shared" si="0"/>
        <v>0.32160804020100503</v>
      </c>
      <c r="E45" t="str">
        <f t="shared" si="1"/>
        <v>Medium</v>
      </c>
      <c r="F45">
        <v>-13</v>
      </c>
      <c r="G45">
        <v>3.8</v>
      </c>
      <c r="H45" t="str">
        <f t="shared" si="2"/>
        <v>Medium</v>
      </c>
      <c r="I45">
        <f t="shared" si="3"/>
        <v>13</v>
      </c>
      <c r="K45" t="s">
        <v>125</v>
      </c>
      <c r="L45">
        <v>5</v>
      </c>
    </row>
    <row r="46" spans="1:12" x14ac:dyDescent="0.35">
      <c r="A46" t="s">
        <v>64</v>
      </c>
      <c r="B46" s="1">
        <v>1300</v>
      </c>
      <c r="C46" s="1">
        <v>2500</v>
      </c>
      <c r="D46" s="2">
        <f t="shared" si="0"/>
        <v>0.48</v>
      </c>
      <c r="E46" t="str">
        <f t="shared" si="1"/>
        <v>High</v>
      </c>
      <c r="F46">
        <v>0</v>
      </c>
      <c r="G46">
        <v>3.9</v>
      </c>
      <c r="H46" t="str">
        <f t="shared" si="2"/>
        <v>Medium</v>
      </c>
      <c r="I46">
        <f t="shared" si="3"/>
        <v>0</v>
      </c>
    </row>
    <row r="47" spans="1:12" x14ac:dyDescent="0.35">
      <c r="A47" t="s">
        <v>65</v>
      </c>
      <c r="B47" s="1">
        <v>1274</v>
      </c>
      <c r="C47" s="1">
        <v>2800</v>
      </c>
      <c r="D47" s="2">
        <f t="shared" si="0"/>
        <v>0.54500000000000004</v>
      </c>
      <c r="E47" t="str">
        <f t="shared" si="1"/>
        <v>High</v>
      </c>
      <c r="F47">
        <v>-5</v>
      </c>
      <c r="G47">
        <v>4.8</v>
      </c>
      <c r="H47" t="str">
        <f t="shared" si="2"/>
        <v>Excellent</v>
      </c>
      <c r="I47">
        <f t="shared" si="3"/>
        <v>5</v>
      </c>
    </row>
    <row r="48" spans="1:12" x14ac:dyDescent="0.35">
      <c r="A48" t="s">
        <v>66</v>
      </c>
      <c r="B48" s="1">
        <v>1220</v>
      </c>
      <c r="C48" s="1">
        <v>1555</v>
      </c>
      <c r="D48" s="2">
        <f t="shared" si="0"/>
        <v>0.21543408360128619</v>
      </c>
      <c r="E48" t="str">
        <f t="shared" si="1"/>
        <v>Medium</v>
      </c>
      <c r="F48">
        <v>-16</v>
      </c>
      <c r="G48">
        <v>2.9</v>
      </c>
      <c r="H48" t="str">
        <f t="shared" si="2"/>
        <v>Poor</v>
      </c>
      <c r="I48">
        <f t="shared" si="3"/>
        <v>16</v>
      </c>
      <c r="K48" s="3" t="s">
        <v>143</v>
      </c>
    </row>
    <row r="49" spans="1:12" x14ac:dyDescent="0.35">
      <c r="A49" t="s">
        <v>67</v>
      </c>
      <c r="B49" s="1">
        <v>1200</v>
      </c>
      <c r="C49" s="1">
        <v>2400</v>
      </c>
      <c r="D49" s="2">
        <f t="shared" si="0"/>
        <v>0.5</v>
      </c>
      <c r="E49" t="str">
        <f t="shared" si="1"/>
        <v>High</v>
      </c>
      <c r="F49">
        <v>0</v>
      </c>
      <c r="G49">
        <v>3.9</v>
      </c>
      <c r="H49" t="str">
        <f t="shared" si="2"/>
        <v>Medium</v>
      </c>
      <c r="I49">
        <f t="shared" si="3"/>
        <v>0</v>
      </c>
      <c r="K49" s="3" t="s">
        <v>0</v>
      </c>
      <c r="L49" s="3" t="s">
        <v>6</v>
      </c>
    </row>
    <row r="50" spans="1:12" x14ac:dyDescent="0.35">
      <c r="A50" t="s">
        <v>68</v>
      </c>
      <c r="B50" s="1">
        <v>1200</v>
      </c>
      <c r="C50" s="1">
        <v>1950</v>
      </c>
      <c r="D50" s="2">
        <f t="shared" si="0"/>
        <v>0.38461538461538464</v>
      </c>
      <c r="E50" t="str">
        <f t="shared" si="1"/>
        <v>Medium</v>
      </c>
      <c r="F50">
        <v>0</v>
      </c>
      <c r="G50">
        <v>3.9</v>
      </c>
      <c r="H50" t="str">
        <f t="shared" si="2"/>
        <v>Medium</v>
      </c>
      <c r="I50">
        <f t="shared" si="3"/>
        <v>0</v>
      </c>
      <c r="K50" t="s">
        <v>34</v>
      </c>
      <c r="L50">
        <v>2.1</v>
      </c>
    </row>
    <row r="51" spans="1:12" x14ac:dyDescent="0.35">
      <c r="A51" t="s">
        <v>69</v>
      </c>
      <c r="B51" s="1">
        <v>1190</v>
      </c>
      <c r="C51" s="1">
        <v>1785</v>
      </c>
      <c r="D51" s="2">
        <f t="shared" si="0"/>
        <v>0.33333333333333331</v>
      </c>
      <c r="E51" t="str">
        <f t="shared" si="1"/>
        <v>Medium</v>
      </c>
      <c r="F51">
        <v>0</v>
      </c>
      <c r="G51">
        <v>3.9</v>
      </c>
      <c r="H51" t="str">
        <f t="shared" si="2"/>
        <v>Medium</v>
      </c>
      <c r="I51">
        <f t="shared" si="3"/>
        <v>0</v>
      </c>
      <c r="K51" t="s">
        <v>55</v>
      </c>
      <c r="L51">
        <v>2.1</v>
      </c>
    </row>
    <row r="52" spans="1:12" x14ac:dyDescent="0.35">
      <c r="A52" t="s">
        <v>70</v>
      </c>
      <c r="B52" s="1">
        <v>1190</v>
      </c>
      <c r="C52" s="1">
        <v>1810</v>
      </c>
      <c r="D52" s="2">
        <f t="shared" si="0"/>
        <v>0.34254143646408841</v>
      </c>
      <c r="E52" t="str">
        <f t="shared" si="1"/>
        <v>Medium</v>
      </c>
      <c r="F52">
        <v>0</v>
      </c>
      <c r="G52">
        <v>3.9</v>
      </c>
      <c r="H52" t="str">
        <f t="shared" si="2"/>
        <v>Medium</v>
      </c>
      <c r="I52">
        <f t="shared" si="3"/>
        <v>0</v>
      </c>
      <c r="K52" t="s">
        <v>78</v>
      </c>
      <c r="L52">
        <v>2.2000000000000002</v>
      </c>
    </row>
    <row r="53" spans="1:12" x14ac:dyDescent="0.35">
      <c r="A53" t="s">
        <v>71</v>
      </c>
      <c r="B53" s="1">
        <v>1189</v>
      </c>
      <c r="C53" s="1">
        <v>2199</v>
      </c>
      <c r="D53" s="2">
        <f t="shared" si="0"/>
        <v>0.45929968167348795</v>
      </c>
      <c r="E53" t="str">
        <f t="shared" si="1"/>
        <v>High</v>
      </c>
      <c r="F53">
        <v>-1</v>
      </c>
      <c r="G53">
        <v>3</v>
      </c>
      <c r="H53" t="str">
        <f t="shared" si="2"/>
        <v>Medium</v>
      </c>
      <c r="I53">
        <f t="shared" si="3"/>
        <v>1</v>
      </c>
      <c r="K53" t="s">
        <v>82</v>
      </c>
      <c r="L53">
        <v>2.2000000000000002</v>
      </c>
    </row>
    <row r="54" spans="1:12" x14ac:dyDescent="0.35">
      <c r="A54" t="s">
        <v>72</v>
      </c>
      <c r="B54" s="1">
        <v>1150</v>
      </c>
      <c r="C54" s="1">
        <v>1737</v>
      </c>
      <c r="D54" s="2">
        <f t="shared" si="0"/>
        <v>0.3379389752446747</v>
      </c>
      <c r="E54" t="str">
        <f t="shared" si="1"/>
        <v>Medium</v>
      </c>
      <c r="F54">
        <v>0</v>
      </c>
      <c r="G54">
        <v>3.9</v>
      </c>
      <c r="H54" t="str">
        <f t="shared" si="2"/>
        <v>Medium</v>
      </c>
      <c r="I54">
        <f t="shared" si="3"/>
        <v>0</v>
      </c>
      <c r="K54" t="s">
        <v>105</v>
      </c>
      <c r="L54">
        <v>2</v>
      </c>
    </row>
    <row r="55" spans="1:12" x14ac:dyDescent="0.35">
      <c r="A55" t="s">
        <v>73</v>
      </c>
      <c r="B55" s="1">
        <v>1080</v>
      </c>
      <c r="C55" s="1">
        <v>1874</v>
      </c>
      <c r="D55" s="2">
        <f t="shared" si="0"/>
        <v>0.42369263607257202</v>
      </c>
      <c r="E55" t="str">
        <f t="shared" si="1"/>
        <v>High</v>
      </c>
      <c r="F55">
        <v>0</v>
      </c>
      <c r="G55">
        <v>3.9</v>
      </c>
      <c r="H55" t="str">
        <f t="shared" si="2"/>
        <v>Medium</v>
      </c>
      <c r="I55">
        <f t="shared" si="3"/>
        <v>0</v>
      </c>
    </row>
    <row r="56" spans="1:12" x14ac:dyDescent="0.35">
      <c r="A56" t="s">
        <v>74</v>
      </c>
      <c r="B56" s="1">
        <v>1000</v>
      </c>
      <c r="C56" s="1">
        <v>2000</v>
      </c>
      <c r="D56" s="2">
        <f t="shared" si="0"/>
        <v>0.5</v>
      </c>
      <c r="E56" t="str">
        <f t="shared" si="1"/>
        <v>High</v>
      </c>
      <c r="F56">
        <v>-7</v>
      </c>
      <c r="G56">
        <v>2.2999999999999998</v>
      </c>
      <c r="H56" t="str">
        <f t="shared" si="2"/>
        <v>Poor</v>
      </c>
      <c r="I56">
        <f t="shared" si="3"/>
        <v>7</v>
      </c>
    </row>
    <row r="57" spans="1:12" x14ac:dyDescent="0.35">
      <c r="A57" t="s">
        <v>75</v>
      </c>
      <c r="B57" s="1">
        <v>999</v>
      </c>
      <c r="C57" s="1">
        <v>2000</v>
      </c>
      <c r="D57" s="2">
        <f t="shared" si="0"/>
        <v>0.50049999999999994</v>
      </c>
      <c r="E57" t="str">
        <f t="shared" si="1"/>
        <v>High</v>
      </c>
      <c r="F57">
        <v>0</v>
      </c>
      <c r="G57">
        <v>3.9</v>
      </c>
      <c r="H57" t="str">
        <f t="shared" si="2"/>
        <v>Medium</v>
      </c>
      <c r="I57">
        <f t="shared" si="3"/>
        <v>0</v>
      </c>
    </row>
    <row r="58" spans="1:12" x14ac:dyDescent="0.35">
      <c r="A58" t="s">
        <v>76</v>
      </c>
      <c r="B58" s="1">
        <v>998</v>
      </c>
      <c r="C58" s="1">
        <v>1966</v>
      </c>
      <c r="D58" s="2">
        <f t="shared" si="0"/>
        <v>0.49237029501525942</v>
      </c>
      <c r="E58" t="str">
        <f t="shared" si="1"/>
        <v>High</v>
      </c>
      <c r="F58">
        <v>-44</v>
      </c>
      <c r="G58">
        <v>4.5999999999999996</v>
      </c>
      <c r="H58" t="str">
        <f t="shared" si="2"/>
        <v>Excellent</v>
      </c>
      <c r="I58">
        <f t="shared" si="3"/>
        <v>44</v>
      </c>
    </row>
    <row r="59" spans="1:12" x14ac:dyDescent="0.35">
      <c r="A59" t="s">
        <v>77</v>
      </c>
      <c r="B59" s="1">
        <v>990</v>
      </c>
      <c r="C59" s="1">
        <v>1500</v>
      </c>
      <c r="D59" s="2">
        <f t="shared" si="0"/>
        <v>0.34</v>
      </c>
      <c r="E59" t="str">
        <f t="shared" si="1"/>
        <v>Medium</v>
      </c>
      <c r="F59">
        <v>-39</v>
      </c>
      <c r="G59">
        <v>4.7</v>
      </c>
      <c r="H59" t="str">
        <f t="shared" si="2"/>
        <v>Excellent</v>
      </c>
      <c r="I59">
        <f t="shared" si="3"/>
        <v>39</v>
      </c>
    </row>
    <row r="60" spans="1:12" x14ac:dyDescent="0.35">
      <c r="A60" t="s">
        <v>78</v>
      </c>
      <c r="B60" s="1">
        <v>990</v>
      </c>
      <c r="C60" s="1">
        <v>1814</v>
      </c>
      <c r="D60" s="2">
        <f t="shared" si="0"/>
        <v>0.45424476295479604</v>
      </c>
      <c r="E60" t="str">
        <f t="shared" si="1"/>
        <v>High</v>
      </c>
      <c r="F60">
        <v>-6</v>
      </c>
      <c r="G60">
        <v>2.2000000000000002</v>
      </c>
      <c r="H60" t="str">
        <f t="shared" si="2"/>
        <v>Poor</v>
      </c>
      <c r="I60">
        <f t="shared" si="3"/>
        <v>6</v>
      </c>
    </row>
    <row r="61" spans="1:12" x14ac:dyDescent="0.35">
      <c r="A61" t="s">
        <v>79</v>
      </c>
      <c r="B61" s="1">
        <v>988</v>
      </c>
      <c r="C61" s="1">
        <v>1580</v>
      </c>
      <c r="D61" s="2">
        <f t="shared" si="0"/>
        <v>0.37468354430379747</v>
      </c>
      <c r="E61" t="str">
        <f t="shared" si="1"/>
        <v>Medium</v>
      </c>
      <c r="F61">
        <v>-2</v>
      </c>
      <c r="G61">
        <v>4</v>
      </c>
      <c r="H61" t="str">
        <f t="shared" si="2"/>
        <v>Medium</v>
      </c>
      <c r="I61">
        <f t="shared" si="3"/>
        <v>2</v>
      </c>
    </row>
    <row r="62" spans="1:12" x14ac:dyDescent="0.35">
      <c r="A62" t="s">
        <v>80</v>
      </c>
      <c r="B62" s="1">
        <v>980</v>
      </c>
      <c r="C62" s="1">
        <v>1490</v>
      </c>
      <c r="D62" s="2">
        <f t="shared" si="0"/>
        <v>0.34228187919463088</v>
      </c>
      <c r="E62" t="str">
        <f t="shared" si="1"/>
        <v>Medium</v>
      </c>
      <c r="F62">
        <v>-12</v>
      </c>
      <c r="G62">
        <v>4.7</v>
      </c>
      <c r="H62" t="str">
        <f t="shared" si="2"/>
        <v>Excellent</v>
      </c>
      <c r="I62">
        <f t="shared" si="3"/>
        <v>12</v>
      </c>
    </row>
    <row r="63" spans="1:12" x14ac:dyDescent="0.35">
      <c r="A63" t="s">
        <v>81</v>
      </c>
      <c r="B63" s="1">
        <v>979</v>
      </c>
      <c r="C63" s="1">
        <v>1920</v>
      </c>
      <c r="D63" s="2">
        <f t="shared" si="0"/>
        <v>0.49010416666666667</v>
      </c>
      <c r="E63" t="str">
        <f t="shared" si="1"/>
        <v>High</v>
      </c>
      <c r="F63">
        <v>-1</v>
      </c>
      <c r="G63">
        <v>5</v>
      </c>
      <c r="H63" t="str">
        <f t="shared" si="2"/>
        <v>Excellent</v>
      </c>
      <c r="I63">
        <f t="shared" si="3"/>
        <v>1</v>
      </c>
    </row>
    <row r="64" spans="1:12" x14ac:dyDescent="0.35">
      <c r="A64" t="s">
        <v>82</v>
      </c>
      <c r="B64" s="1">
        <v>968</v>
      </c>
      <c r="C64" s="1">
        <v>1814</v>
      </c>
      <c r="D64" s="2">
        <f t="shared" si="0"/>
        <v>0.46637265711135611</v>
      </c>
      <c r="E64" t="str">
        <f t="shared" si="1"/>
        <v>High</v>
      </c>
      <c r="F64">
        <v>-6</v>
      </c>
      <c r="G64">
        <v>2.2000000000000002</v>
      </c>
      <c r="H64" t="str">
        <f t="shared" si="2"/>
        <v>Poor</v>
      </c>
      <c r="I64">
        <f t="shared" si="3"/>
        <v>6</v>
      </c>
    </row>
    <row r="65" spans="1:9" x14ac:dyDescent="0.35">
      <c r="A65" t="s">
        <v>83</v>
      </c>
      <c r="B65" s="1">
        <v>950</v>
      </c>
      <c r="C65" s="1">
        <v>1525</v>
      </c>
      <c r="D65" s="2">
        <f t="shared" si="0"/>
        <v>0.37704918032786883</v>
      </c>
      <c r="E65" t="str">
        <f t="shared" si="1"/>
        <v>Medium</v>
      </c>
      <c r="F65">
        <v>-2</v>
      </c>
      <c r="G65">
        <v>4.5</v>
      </c>
      <c r="H65" t="str">
        <f t="shared" si="2"/>
        <v>Excellent</v>
      </c>
      <c r="I65">
        <f t="shared" si="3"/>
        <v>2</v>
      </c>
    </row>
    <row r="66" spans="1:9" x14ac:dyDescent="0.35">
      <c r="A66" t="s">
        <v>84</v>
      </c>
      <c r="B66" s="1">
        <v>899</v>
      </c>
      <c r="C66" s="1">
        <v>1699</v>
      </c>
      <c r="D66" s="2">
        <f t="shared" si="0"/>
        <v>0.47086521483225424</v>
      </c>
      <c r="E66" t="str">
        <f t="shared" si="1"/>
        <v>High</v>
      </c>
      <c r="F66">
        <v>0</v>
      </c>
      <c r="G66">
        <v>3.9</v>
      </c>
      <c r="H66" t="str">
        <f t="shared" si="2"/>
        <v>Medium</v>
      </c>
      <c r="I66">
        <f t="shared" si="3"/>
        <v>0</v>
      </c>
    </row>
    <row r="67" spans="1:9" x14ac:dyDescent="0.35">
      <c r="A67" t="s">
        <v>85</v>
      </c>
      <c r="B67" s="1">
        <v>880</v>
      </c>
      <c r="C67" s="1">
        <v>1350</v>
      </c>
      <c r="D67" s="2">
        <f t="shared" ref="D67:D113" si="4">(C67-B67)/C67</f>
        <v>0.34814814814814815</v>
      </c>
      <c r="E67" t="str">
        <f t="shared" ref="E67:E113" si="5">IF(D67&lt;0.2,"Low",IF(AND(D67&gt;=0.2,D67&lt;=0.4),"Medium","High"))</f>
        <v>Medium</v>
      </c>
      <c r="F67">
        <v>-6</v>
      </c>
      <c r="G67">
        <v>4</v>
      </c>
      <c r="H67" t="str">
        <f t="shared" ref="H67:H113" si="6">IF(G67&lt;3,"Poor",IF(AND(G67&gt;=3,G67&lt;=4.4),"Medium","Excellent"))</f>
        <v>Medium</v>
      </c>
      <c r="I67">
        <f t="shared" ref="I67:I113" si="7">ABS(F67)</f>
        <v>6</v>
      </c>
    </row>
    <row r="68" spans="1:9" x14ac:dyDescent="0.35">
      <c r="A68" t="s">
        <v>86</v>
      </c>
      <c r="B68" s="1">
        <v>850</v>
      </c>
      <c r="C68" s="1">
        <v>1700</v>
      </c>
      <c r="D68" s="2">
        <f t="shared" si="4"/>
        <v>0.5</v>
      </c>
      <c r="E68" t="str">
        <f t="shared" si="5"/>
        <v>High</v>
      </c>
      <c r="F68">
        <v>0</v>
      </c>
      <c r="G68">
        <v>3.9</v>
      </c>
      <c r="H68" t="str">
        <f t="shared" si="6"/>
        <v>Medium</v>
      </c>
      <c r="I68">
        <f t="shared" si="7"/>
        <v>0</v>
      </c>
    </row>
    <row r="69" spans="1:9" x14ac:dyDescent="0.35">
      <c r="A69" t="s">
        <v>87</v>
      </c>
      <c r="B69" s="1">
        <v>799</v>
      </c>
      <c r="C69" s="1">
        <v>1567</v>
      </c>
      <c r="D69" s="2">
        <f t="shared" si="4"/>
        <v>0.49010848755583919</v>
      </c>
      <c r="E69" t="str">
        <f t="shared" si="5"/>
        <v>High</v>
      </c>
      <c r="F69">
        <v>0</v>
      </c>
      <c r="G69">
        <v>3.9</v>
      </c>
      <c r="H69" t="str">
        <f t="shared" si="6"/>
        <v>Medium</v>
      </c>
      <c r="I69">
        <f t="shared" si="7"/>
        <v>0</v>
      </c>
    </row>
    <row r="70" spans="1:9" x14ac:dyDescent="0.35">
      <c r="A70" t="s">
        <v>88</v>
      </c>
      <c r="B70" s="1">
        <v>799</v>
      </c>
      <c r="C70" s="1">
        <v>1343</v>
      </c>
      <c r="D70" s="2">
        <f t="shared" si="4"/>
        <v>0.4050632911392405</v>
      </c>
      <c r="E70" t="str">
        <f t="shared" si="5"/>
        <v>High</v>
      </c>
      <c r="F70">
        <v>0</v>
      </c>
      <c r="G70">
        <v>3.9</v>
      </c>
      <c r="H70" t="str">
        <f t="shared" si="6"/>
        <v>Medium</v>
      </c>
      <c r="I70">
        <f t="shared" si="7"/>
        <v>0</v>
      </c>
    </row>
    <row r="71" spans="1:9" x14ac:dyDescent="0.35">
      <c r="A71" t="s">
        <v>89</v>
      </c>
      <c r="B71" s="1">
        <v>799</v>
      </c>
      <c r="C71" s="1">
        <v>999</v>
      </c>
      <c r="D71" s="2">
        <f t="shared" si="4"/>
        <v>0.20020020020020021</v>
      </c>
      <c r="E71" t="str">
        <f t="shared" si="5"/>
        <v>Medium</v>
      </c>
      <c r="F71">
        <v>-12</v>
      </c>
      <c r="G71">
        <v>4.0999999999999996</v>
      </c>
      <c r="H71" t="str">
        <f t="shared" si="6"/>
        <v>Medium</v>
      </c>
      <c r="I71">
        <f t="shared" si="7"/>
        <v>12</v>
      </c>
    </row>
    <row r="72" spans="1:9" x14ac:dyDescent="0.35">
      <c r="A72" t="s">
        <v>90</v>
      </c>
      <c r="B72" s="1">
        <v>799</v>
      </c>
      <c r="C72" s="1">
        <v>900</v>
      </c>
      <c r="D72" s="2">
        <f t="shared" si="4"/>
        <v>0.11222222222222222</v>
      </c>
      <c r="E72" t="str">
        <f t="shared" si="5"/>
        <v>Low</v>
      </c>
      <c r="F72">
        <v>0</v>
      </c>
      <c r="G72">
        <v>3.9</v>
      </c>
      <c r="H72" t="str">
        <f t="shared" si="6"/>
        <v>Medium</v>
      </c>
      <c r="I72">
        <f t="shared" si="7"/>
        <v>0</v>
      </c>
    </row>
    <row r="73" spans="1:9" x14ac:dyDescent="0.35">
      <c r="A73" t="s">
        <v>91</v>
      </c>
      <c r="B73" s="1">
        <v>790</v>
      </c>
      <c r="C73" s="1">
        <v>1485</v>
      </c>
      <c r="D73" s="2">
        <f t="shared" si="4"/>
        <v>0.46801346801346799</v>
      </c>
      <c r="E73" t="str">
        <f t="shared" si="5"/>
        <v>High</v>
      </c>
      <c r="F73">
        <v>0</v>
      </c>
      <c r="G73">
        <v>3.9</v>
      </c>
      <c r="H73" t="str">
        <f t="shared" si="6"/>
        <v>Medium</v>
      </c>
      <c r="I73">
        <f t="shared" si="7"/>
        <v>0</v>
      </c>
    </row>
    <row r="74" spans="1:9" x14ac:dyDescent="0.35">
      <c r="A74" t="s">
        <v>92</v>
      </c>
      <c r="B74" s="1">
        <v>699</v>
      </c>
      <c r="C74" s="1">
        <v>1343</v>
      </c>
      <c r="D74" s="2">
        <f t="shared" si="4"/>
        <v>0.47952345495160087</v>
      </c>
      <c r="E74" t="str">
        <f t="shared" si="5"/>
        <v>High</v>
      </c>
      <c r="F74">
        <v>0</v>
      </c>
      <c r="G74">
        <v>3.9</v>
      </c>
      <c r="H74" t="str">
        <f t="shared" si="6"/>
        <v>Medium</v>
      </c>
      <c r="I74">
        <f t="shared" si="7"/>
        <v>0</v>
      </c>
    </row>
    <row r="75" spans="1:9" x14ac:dyDescent="0.35">
      <c r="A75" t="s">
        <v>93</v>
      </c>
      <c r="B75" s="1">
        <v>690</v>
      </c>
      <c r="C75" s="1">
        <v>1200</v>
      </c>
      <c r="D75" s="2">
        <f t="shared" si="4"/>
        <v>0.42499999999999999</v>
      </c>
      <c r="E75" t="str">
        <f t="shared" si="5"/>
        <v>High</v>
      </c>
      <c r="F75">
        <v>0</v>
      </c>
      <c r="G75">
        <v>3.9</v>
      </c>
      <c r="H75" t="str">
        <f t="shared" si="6"/>
        <v>Medium</v>
      </c>
      <c r="I75">
        <f t="shared" si="7"/>
        <v>0</v>
      </c>
    </row>
    <row r="76" spans="1:9" x14ac:dyDescent="0.35">
      <c r="A76" t="s">
        <v>94</v>
      </c>
      <c r="B76" s="1">
        <v>671</v>
      </c>
      <c r="C76" s="1">
        <v>1316</v>
      </c>
      <c r="D76" s="2">
        <f t="shared" si="4"/>
        <v>0.49012158054711247</v>
      </c>
      <c r="E76" t="str">
        <f t="shared" si="5"/>
        <v>High</v>
      </c>
      <c r="F76">
        <v>0</v>
      </c>
      <c r="G76">
        <v>3.9</v>
      </c>
      <c r="H76" t="str">
        <f t="shared" si="6"/>
        <v>Medium</v>
      </c>
      <c r="I76">
        <f t="shared" si="7"/>
        <v>0</v>
      </c>
    </row>
    <row r="77" spans="1:9" x14ac:dyDescent="0.35">
      <c r="A77" t="s">
        <v>87</v>
      </c>
      <c r="B77" s="1">
        <v>657</v>
      </c>
      <c r="C77" s="1">
        <v>1288</v>
      </c>
      <c r="D77" s="2">
        <f t="shared" si="4"/>
        <v>0.48990683229813664</v>
      </c>
      <c r="E77" t="str">
        <f t="shared" si="5"/>
        <v>High</v>
      </c>
      <c r="F77">
        <v>0</v>
      </c>
      <c r="G77">
        <v>3.9</v>
      </c>
      <c r="H77" t="str">
        <f t="shared" si="6"/>
        <v>Medium</v>
      </c>
      <c r="I77">
        <f t="shared" si="7"/>
        <v>0</v>
      </c>
    </row>
    <row r="78" spans="1:9" x14ac:dyDescent="0.35">
      <c r="A78" t="s">
        <v>95</v>
      </c>
      <c r="B78" s="1">
        <v>630</v>
      </c>
      <c r="C78" s="1">
        <v>1100</v>
      </c>
      <c r="D78" s="2">
        <f t="shared" si="4"/>
        <v>0.42727272727272725</v>
      </c>
      <c r="E78" t="str">
        <f t="shared" si="5"/>
        <v>High</v>
      </c>
      <c r="F78">
        <v>0</v>
      </c>
      <c r="G78">
        <v>3.9</v>
      </c>
      <c r="H78" t="str">
        <f t="shared" si="6"/>
        <v>Medium</v>
      </c>
      <c r="I78">
        <f t="shared" si="7"/>
        <v>0</v>
      </c>
    </row>
    <row r="79" spans="1:9" x14ac:dyDescent="0.35">
      <c r="A79" t="s">
        <v>96</v>
      </c>
      <c r="B79" s="1">
        <v>610</v>
      </c>
      <c r="C79" s="1">
        <v>1060</v>
      </c>
      <c r="D79" s="2">
        <f t="shared" si="4"/>
        <v>0.42452830188679247</v>
      </c>
      <c r="E79" t="str">
        <f t="shared" si="5"/>
        <v>High</v>
      </c>
      <c r="F79">
        <v>0</v>
      </c>
      <c r="G79">
        <v>3.9</v>
      </c>
      <c r="H79" t="str">
        <f t="shared" si="6"/>
        <v>Medium</v>
      </c>
      <c r="I79">
        <f t="shared" si="7"/>
        <v>0</v>
      </c>
    </row>
    <row r="80" spans="1:9" x14ac:dyDescent="0.35">
      <c r="A80" t="s">
        <v>97</v>
      </c>
      <c r="B80" s="1">
        <v>552</v>
      </c>
      <c r="C80" s="1">
        <v>1035</v>
      </c>
      <c r="D80" s="2">
        <f t="shared" si="4"/>
        <v>0.46666666666666667</v>
      </c>
      <c r="E80" t="str">
        <f t="shared" si="5"/>
        <v>High</v>
      </c>
      <c r="F80">
        <v>-12</v>
      </c>
      <c r="G80">
        <v>4.8</v>
      </c>
      <c r="H80" t="str">
        <f t="shared" si="6"/>
        <v>Excellent</v>
      </c>
      <c r="I80">
        <f t="shared" si="7"/>
        <v>12</v>
      </c>
    </row>
    <row r="81" spans="1:9" x14ac:dyDescent="0.35">
      <c r="A81" t="s">
        <v>98</v>
      </c>
      <c r="B81" s="1">
        <v>527</v>
      </c>
      <c r="C81" s="1">
        <v>999</v>
      </c>
      <c r="D81" s="2">
        <f t="shared" si="4"/>
        <v>0.47247247247247248</v>
      </c>
      <c r="E81" t="str">
        <f t="shared" si="5"/>
        <v>High</v>
      </c>
      <c r="F81">
        <v>-14</v>
      </c>
      <c r="G81">
        <v>4.0999999999999996</v>
      </c>
      <c r="H81" t="str">
        <f t="shared" si="6"/>
        <v>Medium</v>
      </c>
      <c r="I81">
        <f t="shared" si="7"/>
        <v>14</v>
      </c>
    </row>
    <row r="82" spans="1:9" x14ac:dyDescent="0.35">
      <c r="A82" t="s">
        <v>99</v>
      </c>
      <c r="B82" s="1">
        <v>525</v>
      </c>
      <c r="C82" s="1">
        <v>1029</v>
      </c>
      <c r="D82" s="2">
        <f t="shared" si="4"/>
        <v>0.48979591836734693</v>
      </c>
      <c r="E82" t="str">
        <f t="shared" si="5"/>
        <v>High</v>
      </c>
      <c r="F82">
        <v>0</v>
      </c>
      <c r="G82">
        <v>3.9</v>
      </c>
      <c r="H82" t="str">
        <f t="shared" si="6"/>
        <v>Medium</v>
      </c>
      <c r="I82">
        <f t="shared" si="7"/>
        <v>0</v>
      </c>
    </row>
    <row r="83" spans="1:9" x14ac:dyDescent="0.35">
      <c r="A83" t="s">
        <v>100</v>
      </c>
      <c r="B83" s="1">
        <v>509</v>
      </c>
      <c r="C83" s="1">
        <v>899</v>
      </c>
      <c r="D83" s="2">
        <f t="shared" si="4"/>
        <v>0.43381535038932145</v>
      </c>
      <c r="E83" t="str">
        <f t="shared" si="5"/>
        <v>High</v>
      </c>
      <c r="F83">
        <v>-5</v>
      </c>
      <c r="G83">
        <v>3</v>
      </c>
      <c r="H83" t="str">
        <f t="shared" si="6"/>
        <v>Medium</v>
      </c>
      <c r="I83">
        <f t="shared" si="7"/>
        <v>5</v>
      </c>
    </row>
    <row r="84" spans="1:9" x14ac:dyDescent="0.35">
      <c r="A84" t="s">
        <v>101</v>
      </c>
      <c r="B84" s="1">
        <v>501</v>
      </c>
      <c r="C84" s="1">
        <v>860</v>
      </c>
      <c r="D84" s="2">
        <f t="shared" si="4"/>
        <v>0.41744186046511628</v>
      </c>
      <c r="E84" t="str">
        <f t="shared" si="5"/>
        <v>High</v>
      </c>
      <c r="F84">
        <v>-6</v>
      </c>
      <c r="G84">
        <v>4.5</v>
      </c>
      <c r="H84" t="str">
        <f t="shared" si="6"/>
        <v>Excellent</v>
      </c>
      <c r="I84">
        <f t="shared" si="7"/>
        <v>6</v>
      </c>
    </row>
    <row r="85" spans="1:9" x14ac:dyDescent="0.35">
      <c r="A85" t="s">
        <v>102</v>
      </c>
      <c r="B85" s="1">
        <v>499</v>
      </c>
      <c r="C85" s="1">
        <v>900</v>
      </c>
      <c r="D85" s="2">
        <f t="shared" si="4"/>
        <v>0.44555555555555554</v>
      </c>
      <c r="E85" t="str">
        <f t="shared" si="5"/>
        <v>High</v>
      </c>
      <c r="F85">
        <v>0</v>
      </c>
      <c r="G85">
        <v>3.9</v>
      </c>
      <c r="H85" t="str">
        <f t="shared" si="6"/>
        <v>Medium</v>
      </c>
      <c r="I85">
        <f t="shared" si="7"/>
        <v>0</v>
      </c>
    </row>
    <row r="86" spans="1:9" x14ac:dyDescent="0.35">
      <c r="A86" t="s">
        <v>103</v>
      </c>
      <c r="B86" s="1">
        <v>475</v>
      </c>
      <c r="C86" s="1">
        <v>931</v>
      </c>
      <c r="D86" s="2">
        <f t="shared" si="4"/>
        <v>0.48979591836734693</v>
      </c>
      <c r="E86" t="str">
        <f t="shared" si="5"/>
        <v>High</v>
      </c>
      <c r="F86">
        <v>0</v>
      </c>
      <c r="G86">
        <v>3.9</v>
      </c>
      <c r="H86" t="str">
        <f t="shared" si="6"/>
        <v>Medium</v>
      </c>
      <c r="I86">
        <f t="shared" si="7"/>
        <v>0</v>
      </c>
    </row>
    <row r="87" spans="1:9" x14ac:dyDescent="0.35">
      <c r="A87" t="s">
        <v>104</v>
      </c>
      <c r="B87" s="1">
        <v>458</v>
      </c>
      <c r="C87" s="1">
        <v>986</v>
      </c>
      <c r="D87" s="2">
        <f t="shared" si="4"/>
        <v>0.53549695740365111</v>
      </c>
      <c r="E87" t="str">
        <f t="shared" si="5"/>
        <v>High</v>
      </c>
      <c r="F87">
        <v>-10</v>
      </c>
      <c r="G87">
        <v>3</v>
      </c>
      <c r="H87" t="str">
        <f t="shared" si="6"/>
        <v>Medium</v>
      </c>
      <c r="I87">
        <f t="shared" si="7"/>
        <v>10</v>
      </c>
    </row>
    <row r="88" spans="1:9" x14ac:dyDescent="0.35">
      <c r="A88" t="s">
        <v>105</v>
      </c>
      <c r="B88" s="1">
        <v>450</v>
      </c>
      <c r="C88" s="1">
        <v>900</v>
      </c>
      <c r="D88" s="2">
        <f t="shared" si="4"/>
        <v>0.5</v>
      </c>
      <c r="E88" t="str">
        <f t="shared" si="5"/>
        <v>High</v>
      </c>
      <c r="F88">
        <v>-1</v>
      </c>
      <c r="G88">
        <v>2</v>
      </c>
      <c r="H88" t="str">
        <f t="shared" si="6"/>
        <v>Poor</v>
      </c>
      <c r="I88">
        <f t="shared" si="7"/>
        <v>1</v>
      </c>
    </row>
    <row r="89" spans="1:9" x14ac:dyDescent="0.35">
      <c r="A89" t="s">
        <v>106</v>
      </c>
      <c r="B89" s="1">
        <v>445</v>
      </c>
      <c r="C89" s="1">
        <v>873</v>
      </c>
      <c r="D89" s="2">
        <f t="shared" si="4"/>
        <v>0.49026345933562426</v>
      </c>
      <c r="E89" t="str">
        <f t="shared" si="5"/>
        <v>High</v>
      </c>
      <c r="F89">
        <v>-69</v>
      </c>
      <c r="G89">
        <v>2.8</v>
      </c>
      <c r="H89" t="str">
        <f t="shared" si="6"/>
        <v>Poor</v>
      </c>
      <c r="I89">
        <f t="shared" si="7"/>
        <v>69</v>
      </c>
    </row>
    <row r="90" spans="1:9" x14ac:dyDescent="0.35">
      <c r="A90" t="s">
        <v>107</v>
      </c>
      <c r="B90" s="1">
        <v>420</v>
      </c>
      <c r="C90" s="1">
        <v>647</v>
      </c>
      <c r="D90" s="2">
        <f t="shared" si="4"/>
        <v>0.3508500772797527</v>
      </c>
      <c r="E90" t="str">
        <f t="shared" si="5"/>
        <v>Medium</v>
      </c>
      <c r="F90">
        <v>-49</v>
      </c>
      <c r="G90">
        <v>4.5999999999999996</v>
      </c>
      <c r="H90" t="str">
        <f t="shared" si="6"/>
        <v>Excellent</v>
      </c>
      <c r="I90">
        <f t="shared" si="7"/>
        <v>49</v>
      </c>
    </row>
    <row r="91" spans="1:9" x14ac:dyDescent="0.35">
      <c r="A91" t="s">
        <v>102</v>
      </c>
      <c r="B91" s="1">
        <v>399</v>
      </c>
      <c r="C91" s="1">
        <v>896</v>
      </c>
      <c r="D91" s="2">
        <f t="shared" si="4"/>
        <v>0.5546875</v>
      </c>
      <c r="E91" t="str">
        <f t="shared" si="5"/>
        <v>High</v>
      </c>
      <c r="F91">
        <v>0</v>
      </c>
      <c r="G91">
        <v>3.9</v>
      </c>
      <c r="H91" t="str">
        <f t="shared" si="6"/>
        <v>Medium</v>
      </c>
      <c r="I91">
        <f t="shared" si="7"/>
        <v>0</v>
      </c>
    </row>
    <row r="92" spans="1:9" x14ac:dyDescent="0.35">
      <c r="A92" t="s">
        <v>108</v>
      </c>
      <c r="B92" s="1">
        <v>389</v>
      </c>
      <c r="C92" s="1">
        <v>656</v>
      </c>
      <c r="D92" s="2">
        <f t="shared" si="4"/>
        <v>0.40701219512195119</v>
      </c>
      <c r="E92" t="str">
        <f t="shared" si="5"/>
        <v>High</v>
      </c>
      <c r="F92">
        <v>-36</v>
      </c>
      <c r="G92">
        <v>4.3</v>
      </c>
      <c r="H92" t="str">
        <f t="shared" si="6"/>
        <v>Medium</v>
      </c>
      <c r="I92">
        <f t="shared" si="7"/>
        <v>36</v>
      </c>
    </row>
    <row r="93" spans="1:9" x14ac:dyDescent="0.35">
      <c r="A93" t="s">
        <v>109</v>
      </c>
      <c r="B93" s="1">
        <v>382</v>
      </c>
      <c r="C93" s="1">
        <v>700</v>
      </c>
      <c r="D93" s="2">
        <f t="shared" si="4"/>
        <v>0.45428571428571429</v>
      </c>
      <c r="E93" t="str">
        <f t="shared" si="5"/>
        <v>High</v>
      </c>
      <c r="F93">
        <v>-17</v>
      </c>
      <c r="G93">
        <v>2.6</v>
      </c>
      <c r="H93" t="str">
        <f t="shared" si="6"/>
        <v>Poor</v>
      </c>
      <c r="I93">
        <f t="shared" si="7"/>
        <v>17</v>
      </c>
    </row>
    <row r="94" spans="1:9" x14ac:dyDescent="0.35">
      <c r="A94" t="s">
        <v>110</v>
      </c>
      <c r="B94" s="1">
        <v>345</v>
      </c>
      <c r="C94" s="1">
        <v>602</v>
      </c>
      <c r="D94" s="2">
        <f t="shared" si="4"/>
        <v>0.42691029900332228</v>
      </c>
      <c r="E94" t="str">
        <f t="shared" si="5"/>
        <v>High</v>
      </c>
      <c r="F94">
        <v>-6</v>
      </c>
      <c r="G94">
        <v>2.2999999999999998</v>
      </c>
      <c r="H94" t="str">
        <f t="shared" si="6"/>
        <v>Poor</v>
      </c>
      <c r="I94">
        <f t="shared" si="7"/>
        <v>6</v>
      </c>
    </row>
    <row r="95" spans="1:9" x14ac:dyDescent="0.35">
      <c r="A95" t="s">
        <v>111</v>
      </c>
      <c r="B95" s="1">
        <v>332</v>
      </c>
      <c r="C95" s="1">
        <v>684</v>
      </c>
      <c r="D95" s="2">
        <f t="shared" si="4"/>
        <v>0.51461988304093564</v>
      </c>
      <c r="E95" t="str">
        <f t="shared" si="5"/>
        <v>High</v>
      </c>
      <c r="F95">
        <v>-2</v>
      </c>
      <c r="G95">
        <v>5</v>
      </c>
      <c r="H95" t="str">
        <f t="shared" si="6"/>
        <v>Excellent</v>
      </c>
      <c r="I95">
        <f t="shared" si="7"/>
        <v>2</v>
      </c>
    </row>
    <row r="96" spans="1:9" x14ac:dyDescent="0.35">
      <c r="A96" t="s">
        <v>112</v>
      </c>
      <c r="B96" s="1">
        <v>330</v>
      </c>
      <c r="C96" s="1">
        <v>647</v>
      </c>
      <c r="D96" s="2">
        <f t="shared" si="4"/>
        <v>0.48995363214837712</v>
      </c>
      <c r="E96" t="str">
        <f t="shared" si="5"/>
        <v>High</v>
      </c>
      <c r="F96">
        <v>-1</v>
      </c>
      <c r="G96">
        <v>4</v>
      </c>
      <c r="H96" t="str">
        <f t="shared" si="6"/>
        <v>Medium</v>
      </c>
      <c r="I96">
        <f t="shared" si="7"/>
        <v>1</v>
      </c>
    </row>
    <row r="97" spans="1:9" x14ac:dyDescent="0.35">
      <c r="A97" t="s">
        <v>113</v>
      </c>
      <c r="B97" s="1">
        <v>325</v>
      </c>
      <c r="C97" s="1">
        <v>680</v>
      </c>
      <c r="D97" s="2">
        <f t="shared" si="4"/>
        <v>0.5220588235294118</v>
      </c>
      <c r="E97" t="str">
        <f t="shared" si="5"/>
        <v>High</v>
      </c>
      <c r="F97">
        <v>-15</v>
      </c>
      <c r="G97">
        <v>2.7</v>
      </c>
      <c r="H97" t="str">
        <f t="shared" si="6"/>
        <v>Poor</v>
      </c>
      <c r="I97">
        <f t="shared" si="7"/>
        <v>15</v>
      </c>
    </row>
    <row r="98" spans="1:9" x14ac:dyDescent="0.35">
      <c r="A98" t="s">
        <v>114</v>
      </c>
      <c r="B98" s="1">
        <v>299</v>
      </c>
      <c r="C98" s="1">
        <v>600</v>
      </c>
      <c r="D98" s="2">
        <f t="shared" si="4"/>
        <v>0.50166666666666671</v>
      </c>
      <c r="E98" t="str">
        <f t="shared" si="5"/>
        <v>High</v>
      </c>
      <c r="F98">
        <v>0</v>
      </c>
      <c r="G98">
        <v>3.9</v>
      </c>
      <c r="H98" t="str">
        <f t="shared" si="6"/>
        <v>Medium</v>
      </c>
      <c r="I98">
        <f t="shared" si="7"/>
        <v>0</v>
      </c>
    </row>
    <row r="99" spans="1:9" x14ac:dyDescent="0.35">
      <c r="A99" t="s">
        <v>115</v>
      </c>
      <c r="B99" s="1">
        <v>299</v>
      </c>
      <c r="C99" s="1">
        <v>384</v>
      </c>
      <c r="D99" s="2">
        <f t="shared" si="4"/>
        <v>0.22135416666666666</v>
      </c>
      <c r="E99" t="str">
        <f t="shared" si="5"/>
        <v>Medium</v>
      </c>
      <c r="F99">
        <v>0</v>
      </c>
      <c r="G99">
        <v>3.9</v>
      </c>
      <c r="H99" t="str">
        <f t="shared" si="6"/>
        <v>Medium</v>
      </c>
      <c r="I99">
        <f t="shared" si="7"/>
        <v>0</v>
      </c>
    </row>
    <row r="100" spans="1:9" x14ac:dyDescent="0.35">
      <c r="A100" t="s">
        <v>116</v>
      </c>
      <c r="B100" s="1">
        <v>274</v>
      </c>
      <c r="C100" s="1">
        <v>537</v>
      </c>
      <c r="D100" s="2">
        <f t="shared" si="4"/>
        <v>0.48975791433891991</v>
      </c>
      <c r="E100" t="str">
        <f t="shared" si="5"/>
        <v>High</v>
      </c>
      <c r="F100">
        <v>0</v>
      </c>
      <c r="G100">
        <v>3.9</v>
      </c>
      <c r="H100" t="str">
        <f t="shared" si="6"/>
        <v>Medium</v>
      </c>
      <c r="I100">
        <f t="shared" si="7"/>
        <v>0</v>
      </c>
    </row>
    <row r="101" spans="1:9" x14ac:dyDescent="0.35">
      <c r="A101" t="s">
        <v>117</v>
      </c>
      <c r="B101" s="1">
        <v>248</v>
      </c>
      <c r="C101" s="1">
        <v>486</v>
      </c>
      <c r="D101" s="2">
        <f t="shared" si="4"/>
        <v>0.48971193415637859</v>
      </c>
      <c r="E101" t="str">
        <f t="shared" si="5"/>
        <v>High</v>
      </c>
      <c r="F101">
        <v>0</v>
      </c>
      <c r="G101">
        <v>3.9</v>
      </c>
      <c r="H101" t="str">
        <f t="shared" si="6"/>
        <v>Medium</v>
      </c>
      <c r="I101">
        <f t="shared" si="7"/>
        <v>0</v>
      </c>
    </row>
    <row r="102" spans="1:9" x14ac:dyDescent="0.35">
      <c r="A102" t="s">
        <v>118</v>
      </c>
      <c r="B102" s="1">
        <v>238</v>
      </c>
      <c r="C102" s="1">
        <v>476</v>
      </c>
      <c r="D102" s="2">
        <f t="shared" si="4"/>
        <v>0.5</v>
      </c>
      <c r="E102" t="str">
        <f t="shared" si="5"/>
        <v>High</v>
      </c>
      <c r="F102">
        <v>0</v>
      </c>
      <c r="G102">
        <v>3.9</v>
      </c>
      <c r="H102" t="str">
        <f t="shared" si="6"/>
        <v>Medium</v>
      </c>
      <c r="I102">
        <f t="shared" si="7"/>
        <v>0</v>
      </c>
    </row>
    <row r="103" spans="1:9" x14ac:dyDescent="0.35">
      <c r="A103" t="s">
        <v>119</v>
      </c>
      <c r="B103" s="1">
        <v>230</v>
      </c>
      <c r="C103" s="1">
        <v>450</v>
      </c>
      <c r="D103" s="2">
        <f t="shared" si="4"/>
        <v>0.48888888888888887</v>
      </c>
      <c r="E103" t="str">
        <f t="shared" si="5"/>
        <v>High</v>
      </c>
      <c r="F103">
        <v>0</v>
      </c>
      <c r="G103">
        <v>3.9</v>
      </c>
      <c r="H103" t="str">
        <f t="shared" si="6"/>
        <v>Medium</v>
      </c>
      <c r="I103">
        <f t="shared" si="7"/>
        <v>0</v>
      </c>
    </row>
    <row r="104" spans="1:9" x14ac:dyDescent="0.35">
      <c r="A104" t="s">
        <v>120</v>
      </c>
      <c r="B104" s="1">
        <v>199</v>
      </c>
      <c r="C104" s="1">
        <v>553</v>
      </c>
      <c r="D104" s="2">
        <f t="shared" si="4"/>
        <v>0.64014466546112114</v>
      </c>
      <c r="E104" t="str">
        <f t="shared" si="5"/>
        <v>High</v>
      </c>
      <c r="F104">
        <v>0</v>
      </c>
      <c r="G104">
        <v>3.9</v>
      </c>
      <c r="H104" t="str">
        <f t="shared" si="6"/>
        <v>Medium</v>
      </c>
      <c r="I104">
        <f t="shared" si="7"/>
        <v>0</v>
      </c>
    </row>
    <row r="105" spans="1:9" x14ac:dyDescent="0.35">
      <c r="A105" t="s">
        <v>121</v>
      </c>
      <c r="B105" s="1">
        <v>199</v>
      </c>
      <c r="C105" s="1">
        <v>504</v>
      </c>
      <c r="D105" s="2">
        <f t="shared" si="4"/>
        <v>0.60515873015873012</v>
      </c>
      <c r="E105" t="str">
        <f t="shared" si="5"/>
        <v>High</v>
      </c>
      <c r="F105">
        <v>0</v>
      </c>
      <c r="G105">
        <v>3.9</v>
      </c>
      <c r="H105" t="str">
        <f t="shared" si="6"/>
        <v>Medium</v>
      </c>
      <c r="I105">
        <f t="shared" si="7"/>
        <v>0</v>
      </c>
    </row>
    <row r="106" spans="1:9" x14ac:dyDescent="0.35">
      <c r="A106" t="s">
        <v>122</v>
      </c>
      <c r="B106" s="1">
        <v>198</v>
      </c>
      <c r="C106" s="1">
        <v>260</v>
      </c>
      <c r="D106" s="2">
        <f t="shared" si="4"/>
        <v>0.23846153846153847</v>
      </c>
      <c r="E106" t="str">
        <f t="shared" si="5"/>
        <v>Medium</v>
      </c>
      <c r="F106">
        <v>0</v>
      </c>
      <c r="G106">
        <v>3.9</v>
      </c>
      <c r="H106" t="str">
        <f t="shared" si="6"/>
        <v>Medium</v>
      </c>
      <c r="I106">
        <f t="shared" si="7"/>
        <v>0</v>
      </c>
    </row>
    <row r="107" spans="1:9" x14ac:dyDescent="0.35">
      <c r="A107" t="s">
        <v>123</v>
      </c>
      <c r="B107" s="1">
        <v>195</v>
      </c>
      <c r="C107" s="1">
        <v>360</v>
      </c>
      <c r="D107" s="2">
        <f t="shared" si="4"/>
        <v>0.45833333333333331</v>
      </c>
      <c r="E107" t="str">
        <f t="shared" si="5"/>
        <v>High</v>
      </c>
      <c r="F107">
        <v>-2</v>
      </c>
      <c r="G107">
        <v>5</v>
      </c>
      <c r="H107" t="str">
        <f t="shared" si="6"/>
        <v>Excellent</v>
      </c>
      <c r="I107">
        <f t="shared" si="7"/>
        <v>2</v>
      </c>
    </row>
    <row r="108" spans="1:9" x14ac:dyDescent="0.35">
      <c r="A108" t="s">
        <v>124</v>
      </c>
      <c r="B108" s="1">
        <v>185</v>
      </c>
      <c r="C108" s="1">
        <v>382</v>
      </c>
      <c r="D108" s="2">
        <f t="shared" si="4"/>
        <v>0.51570680628272247</v>
      </c>
      <c r="E108" t="str">
        <f t="shared" si="5"/>
        <v>High</v>
      </c>
      <c r="F108">
        <v>-9</v>
      </c>
      <c r="G108">
        <v>4.3</v>
      </c>
      <c r="H108" t="str">
        <f t="shared" si="6"/>
        <v>Medium</v>
      </c>
      <c r="I108">
        <f t="shared" si="7"/>
        <v>9</v>
      </c>
    </row>
    <row r="109" spans="1:9" x14ac:dyDescent="0.35">
      <c r="A109" t="s">
        <v>121</v>
      </c>
      <c r="B109" s="1">
        <v>176</v>
      </c>
      <c r="C109" s="1">
        <v>345</v>
      </c>
      <c r="D109" s="2">
        <f t="shared" si="4"/>
        <v>0.48985507246376814</v>
      </c>
      <c r="E109" t="str">
        <f t="shared" si="5"/>
        <v>High</v>
      </c>
      <c r="F109">
        <v>0</v>
      </c>
      <c r="G109">
        <v>3.9</v>
      </c>
      <c r="H109" t="str">
        <f t="shared" si="6"/>
        <v>Medium</v>
      </c>
      <c r="I109">
        <f t="shared" si="7"/>
        <v>0</v>
      </c>
    </row>
    <row r="110" spans="1:9" x14ac:dyDescent="0.35">
      <c r="A110" t="s">
        <v>125</v>
      </c>
      <c r="B110" s="1">
        <v>171</v>
      </c>
      <c r="C110" s="1">
        <v>360</v>
      </c>
      <c r="D110" s="2">
        <f t="shared" si="4"/>
        <v>0.52500000000000002</v>
      </c>
      <c r="E110" t="str">
        <f t="shared" si="5"/>
        <v>High</v>
      </c>
      <c r="F110">
        <v>-2</v>
      </c>
      <c r="G110">
        <v>5</v>
      </c>
      <c r="H110" t="str">
        <f t="shared" si="6"/>
        <v>Excellent</v>
      </c>
      <c r="I110">
        <f t="shared" si="7"/>
        <v>2</v>
      </c>
    </row>
    <row r="111" spans="1:9" x14ac:dyDescent="0.35">
      <c r="A111" t="s">
        <v>126</v>
      </c>
      <c r="B111" s="1">
        <v>169</v>
      </c>
      <c r="C111" s="1">
        <v>320</v>
      </c>
      <c r="D111" s="2">
        <f t="shared" si="4"/>
        <v>0.47187499999999999</v>
      </c>
      <c r="E111" t="str">
        <f t="shared" si="5"/>
        <v>High</v>
      </c>
      <c r="F111">
        <v>0</v>
      </c>
      <c r="G111">
        <v>3.9</v>
      </c>
      <c r="H111" t="str">
        <f t="shared" si="6"/>
        <v>Medium</v>
      </c>
      <c r="I111">
        <f t="shared" si="7"/>
        <v>0</v>
      </c>
    </row>
    <row r="112" spans="1:9" x14ac:dyDescent="0.35">
      <c r="A112" t="s">
        <v>127</v>
      </c>
      <c r="B112" s="1">
        <v>105</v>
      </c>
      <c r="C112" s="1">
        <v>200</v>
      </c>
      <c r="D112" s="2">
        <f t="shared" si="4"/>
        <v>0.47499999999999998</v>
      </c>
      <c r="E112" t="str">
        <f t="shared" si="5"/>
        <v>High</v>
      </c>
      <c r="F112">
        <v>0</v>
      </c>
      <c r="G112">
        <v>3.9</v>
      </c>
      <c r="H112" t="str">
        <f t="shared" si="6"/>
        <v>Medium</v>
      </c>
      <c r="I112">
        <f t="shared" si="7"/>
        <v>0</v>
      </c>
    </row>
    <row r="113" spans="1:9" x14ac:dyDescent="0.35">
      <c r="A113" t="s">
        <v>128</v>
      </c>
      <c r="B113" s="1">
        <v>38</v>
      </c>
      <c r="C113" s="1">
        <v>80</v>
      </c>
      <c r="D113" s="2">
        <f t="shared" si="4"/>
        <v>0.52500000000000002</v>
      </c>
      <c r="E113" t="str">
        <f t="shared" si="5"/>
        <v>High</v>
      </c>
      <c r="F113">
        <v>-13</v>
      </c>
      <c r="G113">
        <v>3.3</v>
      </c>
      <c r="H113" t="str">
        <f t="shared" si="6"/>
        <v>Medium</v>
      </c>
      <c r="I113">
        <f t="shared" si="7"/>
        <v>13</v>
      </c>
    </row>
    <row r="114" spans="1:9" hidden="1" x14ac:dyDescent="0.35">
      <c r="A114" s="12"/>
    </row>
    <row r="115" spans="1:9" hidden="1" x14ac:dyDescent="0.35"/>
    <row r="116" spans="1:9" hidden="1" x14ac:dyDescent="0.35"/>
  </sheetData>
  <autoFilter ref="A1:A116" xr:uid="{10A401C0-3B7D-450B-97F2-FE0491A5BEED}">
    <filterColumn colId="0">
      <customFilters>
        <customFilter operator="notEqual" val=" "/>
      </customFilters>
    </filterColumn>
  </autoFilter>
  <conditionalFormatting sqref="A1:A1048576">
    <cfRule type="containsBlanks" priority="1">
      <formula>LEN(TRIM(A1))=0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3B37C-67E7-4D53-B059-98CD395AEAC8}">
  <sheetPr codeName="Sheet12"/>
  <dimension ref="A3:B109"/>
  <sheetViews>
    <sheetView workbookViewId="0">
      <selection activeCell="AC17" sqref="AC17"/>
    </sheetView>
  </sheetViews>
  <sheetFormatPr defaultRowHeight="14.5" x14ac:dyDescent="0.35"/>
  <cols>
    <col min="1" max="1" width="12.36328125" bestFit="1" customWidth="1"/>
    <col min="2" max="2" width="20.453125" bestFit="1" customWidth="1"/>
    <col min="3" max="9" width="1.81640625" bestFit="1" customWidth="1"/>
    <col min="10" max="25" width="2.81640625" bestFit="1" customWidth="1"/>
    <col min="26" max="26" width="10.7265625" bestFit="1" customWidth="1"/>
    <col min="27" max="106" width="6.81640625" bestFit="1" customWidth="1"/>
    <col min="107" max="107" width="10.7265625" bestFit="1" customWidth="1"/>
  </cols>
  <sheetData>
    <row r="3" spans="1:2" x14ac:dyDescent="0.35">
      <c r="A3" s="7" t="s">
        <v>131</v>
      </c>
      <c r="B3" t="s">
        <v>138</v>
      </c>
    </row>
    <row r="4" spans="1:2" x14ac:dyDescent="0.35">
      <c r="A4" s="9">
        <v>1.2638230647709321E-2</v>
      </c>
      <c r="B4">
        <v>0</v>
      </c>
    </row>
    <row r="5" spans="1:2" x14ac:dyDescent="0.35">
      <c r="A5" s="9">
        <v>1.705855232826187E-2</v>
      </c>
      <c r="B5">
        <v>0</v>
      </c>
    </row>
    <row r="6" spans="1:2" x14ac:dyDescent="0.35">
      <c r="A6" s="9">
        <v>1.7231795441912175E-2</v>
      </c>
      <c r="B6">
        <v>0</v>
      </c>
    </row>
    <row r="7" spans="1:2" x14ac:dyDescent="0.35">
      <c r="A7" s="9">
        <v>1.9423190111830489E-2</v>
      </c>
      <c r="B7">
        <v>0</v>
      </c>
    </row>
    <row r="8" spans="1:2" x14ac:dyDescent="0.35">
      <c r="A8" s="9">
        <v>2.2954679223072396E-2</v>
      </c>
      <c r="B8">
        <v>0</v>
      </c>
    </row>
    <row r="9" spans="1:2" x14ac:dyDescent="0.35">
      <c r="A9" s="9">
        <v>2.4131842260153032E-2</v>
      </c>
      <c r="B9">
        <v>0</v>
      </c>
    </row>
    <row r="10" spans="1:2" x14ac:dyDescent="0.35">
      <c r="A10" s="9">
        <v>2.4683122081387593E-2</v>
      </c>
      <c r="B10">
        <v>0</v>
      </c>
    </row>
    <row r="11" spans="1:2" x14ac:dyDescent="0.35">
      <c r="A11" s="9">
        <v>2.6684456304202801E-2</v>
      </c>
      <c r="B11">
        <v>0</v>
      </c>
    </row>
    <row r="12" spans="1:2" x14ac:dyDescent="0.35">
      <c r="A12" s="9">
        <v>3.7242912729294052E-2</v>
      </c>
      <c r="B12">
        <v>0</v>
      </c>
    </row>
    <row r="13" spans="1:2" x14ac:dyDescent="0.35">
      <c r="A13" s="9">
        <v>4.1362530413625302E-2</v>
      </c>
      <c r="B13">
        <v>0</v>
      </c>
    </row>
    <row r="14" spans="1:2" x14ac:dyDescent="0.35">
      <c r="A14" s="9">
        <v>8.0722891566265054E-2</v>
      </c>
      <c r="B14">
        <v>0</v>
      </c>
    </row>
    <row r="15" spans="1:2" x14ac:dyDescent="0.35">
      <c r="A15" s="9">
        <v>8.8449848024316116E-2</v>
      </c>
      <c r="B15">
        <v>15</v>
      </c>
    </row>
    <row r="16" spans="1:2" x14ac:dyDescent="0.35">
      <c r="A16" s="9">
        <v>0.11222222222222222</v>
      </c>
      <c r="B16">
        <v>0</v>
      </c>
    </row>
    <row r="17" spans="1:2" x14ac:dyDescent="0.35">
      <c r="A17" s="9">
        <v>0.13200000000000001</v>
      </c>
      <c r="B17">
        <v>6</v>
      </c>
    </row>
    <row r="18" spans="1:2" x14ac:dyDescent="0.35">
      <c r="A18" s="9">
        <v>0.13596233078281342</v>
      </c>
      <c r="B18">
        <v>0</v>
      </c>
    </row>
    <row r="19" spans="1:2" x14ac:dyDescent="0.35">
      <c r="A19" s="9">
        <v>0.13713949381989404</v>
      </c>
      <c r="B19">
        <v>0</v>
      </c>
    </row>
    <row r="20" spans="1:2" x14ac:dyDescent="0.35">
      <c r="A20" s="9">
        <v>0.18181818181818182</v>
      </c>
      <c r="B20">
        <v>12</v>
      </c>
    </row>
    <row r="21" spans="1:2" x14ac:dyDescent="0.35">
      <c r="A21" s="9">
        <v>0.18924033522573669</v>
      </c>
      <c r="B21">
        <v>5</v>
      </c>
    </row>
    <row r="22" spans="1:2" x14ac:dyDescent="0.35">
      <c r="A22" s="9">
        <v>0.20020020020020021</v>
      </c>
      <c r="B22">
        <v>12</v>
      </c>
    </row>
    <row r="23" spans="1:2" x14ac:dyDescent="0.35">
      <c r="A23" s="9">
        <v>0.20662598081952921</v>
      </c>
      <c r="B23">
        <v>1</v>
      </c>
    </row>
    <row r="24" spans="1:2" x14ac:dyDescent="0.35">
      <c r="A24" s="9">
        <v>0.21543408360128619</v>
      </c>
      <c r="B24">
        <v>16</v>
      </c>
    </row>
    <row r="25" spans="1:2" x14ac:dyDescent="0.35">
      <c r="A25" s="9">
        <v>0.22135416666666666</v>
      </c>
      <c r="B25">
        <v>0</v>
      </c>
    </row>
    <row r="26" spans="1:2" x14ac:dyDescent="0.35">
      <c r="A26" s="9">
        <v>0.23255813953488372</v>
      </c>
      <c r="B26">
        <v>14</v>
      </c>
    </row>
    <row r="27" spans="1:2" x14ac:dyDescent="0.35">
      <c r="A27" s="9">
        <v>0.23515831134564644</v>
      </c>
      <c r="B27">
        <v>55</v>
      </c>
    </row>
    <row r="28" spans="1:2" x14ac:dyDescent="0.35">
      <c r="A28" s="9">
        <v>0.23846153846153847</v>
      </c>
      <c r="B28">
        <v>0</v>
      </c>
    </row>
    <row r="29" spans="1:2" x14ac:dyDescent="0.35">
      <c r="A29" s="9">
        <v>0.24769072870338693</v>
      </c>
      <c r="B29">
        <v>24</v>
      </c>
    </row>
    <row r="30" spans="1:2" x14ac:dyDescent="0.35">
      <c r="A30" s="9">
        <v>0.26146010186757218</v>
      </c>
      <c r="B30">
        <v>5</v>
      </c>
    </row>
    <row r="31" spans="1:2" x14ac:dyDescent="0.35">
      <c r="A31" s="9">
        <v>0.26535433070866143</v>
      </c>
      <c r="B31">
        <v>0</v>
      </c>
    </row>
    <row r="32" spans="1:2" x14ac:dyDescent="0.35">
      <c r="A32" s="9">
        <v>0.26639496109670247</v>
      </c>
      <c r="B32">
        <v>32</v>
      </c>
    </row>
    <row r="33" spans="1:2" x14ac:dyDescent="0.35">
      <c r="A33" s="9">
        <v>0.26792452830188679</v>
      </c>
      <c r="B33">
        <v>20</v>
      </c>
    </row>
    <row r="34" spans="1:2" x14ac:dyDescent="0.35">
      <c r="A34" s="9">
        <v>0.29012345679012347</v>
      </c>
      <c r="B34">
        <v>5</v>
      </c>
    </row>
    <row r="35" spans="1:2" x14ac:dyDescent="0.35">
      <c r="A35" s="9">
        <v>0.2965186074429772</v>
      </c>
      <c r="B35">
        <v>20</v>
      </c>
    </row>
    <row r="36" spans="1:2" x14ac:dyDescent="0.35">
      <c r="A36" s="9">
        <v>0.32160804020100503</v>
      </c>
      <c r="B36">
        <v>13</v>
      </c>
    </row>
    <row r="37" spans="1:2" x14ac:dyDescent="0.35">
      <c r="A37" s="9">
        <v>0.32773109243697479</v>
      </c>
      <c r="B37">
        <v>9</v>
      </c>
    </row>
    <row r="38" spans="1:2" x14ac:dyDescent="0.35">
      <c r="A38" s="9">
        <v>0.33333333333333331</v>
      </c>
      <c r="B38">
        <v>1</v>
      </c>
    </row>
    <row r="39" spans="1:2" x14ac:dyDescent="0.35">
      <c r="A39" s="9">
        <v>0.3379389752446747</v>
      </c>
      <c r="B39">
        <v>0</v>
      </c>
    </row>
    <row r="40" spans="1:2" x14ac:dyDescent="0.35">
      <c r="A40" s="9">
        <v>0.34</v>
      </c>
      <c r="B40">
        <v>39</v>
      </c>
    </row>
    <row r="41" spans="1:2" x14ac:dyDescent="0.35">
      <c r="A41" s="9">
        <v>0.34228187919463088</v>
      </c>
      <c r="B41">
        <v>12</v>
      </c>
    </row>
    <row r="42" spans="1:2" x14ac:dyDescent="0.35">
      <c r="A42" s="9">
        <v>0.34254143646408841</v>
      </c>
      <c r="B42">
        <v>0</v>
      </c>
    </row>
    <row r="43" spans="1:2" x14ac:dyDescent="0.35">
      <c r="A43" s="9">
        <v>0.34814814814814815</v>
      </c>
      <c r="B43">
        <v>6</v>
      </c>
    </row>
    <row r="44" spans="1:2" x14ac:dyDescent="0.35">
      <c r="A44" s="9">
        <v>0.3508500772797527</v>
      </c>
      <c r="B44">
        <v>49</v>
      </c>
    </row>
    <row r="45" spans="1:2" x14ac:dyDescent="0.35">
      <c r="A45" s="9">
        <v>0.36244541484716158</v>
      </c>
      <c r="B45">
        <v>0</v>
      </c>
    </row>
    <row r="46" spans="1:2" x14ac:dyDescent="0.35">
      <c r="A46" s="9">
        <v>0.36774709883953582</v>
      </c>
      <c r="B46">
        <v>7</v>
      </c>
    </row>
    <row r="47" spans="1:2" x14ac:dyDescent="0.35">
      <c r="A47" s="9">
        <v>0.37468354430379747</v>
      </c>
      <c r="B47">
        <v>2</v>
      </c>
    </row>
    <row r="48" spans="1:2" x14ac:dyDescent="0.35">
      <c r="A48" s="9">
        <v>0.37704918032786883</v>
      </c>
      <c r="B48">
        <v>2</v>
      </c>
    </row>
    <row r="49" spans="1:2" x14ac:dyDescent="0.35">
      <c r="A49" s="9">
        <v>0.38461538461538464</v>
      </c>
      <c r="B49">
        <v>0</v>
      </c>
    </row>
    <row r="50" spans="1:2" x14ac:dyDescent="0.35">
      <c r="A50" s="9">
        <v>0.38492507269067322</v>
      </c>
      <c r="B50">
        <v>0</v>
      </c>
    </row>
    <row r="51" spans="1:2" x14ac:dyDescent="0.35">
      <c r="A51" s="9">
        <v>0.38954908025394758</v>
      </c>
      <c r="B51">
        <v>5</v>
      </c>
    </row>
    <row r="52" spans="1:2" x14ac:dyDescent="0.35">
      <c r="A52" s="9">
        <v>0.39776951672862454</v>
      </c>
      <c r="B52">
        <v>1</v>
      </c>
    </row>
    <row r="53" spans="1:2" x14ac:dyDescent="0.35">
      <c r="A53" s="9">
        <v>0.4050632911392405</v>
      </c>
      <c r="B53">
        <v>0</v>
      </c>
    </row>
    <row r="54" spans="1:2" x14ac:dyDescent="0.35">
      <c r="A54" s="9">
        <v>0.40701219512195119</v>
      </c>
      <c r="B54">
        <v>36</v>
      </c>
    </row>
    <row r="55" spans="1:2" x14ac:dyDescent="0.35">
      <c r="A55" s="9">
        <v>0.41322314049586778</v>
      </c>
      <c r="B55">
        <v>0</v>
      </c>
    </row>
    <row r="56" spans="1:2" x14ac:dyDescent="0.35">
      <c r="A56" s="9">
        <v>0.41744186046511628</v>
      </c>
      <c r="B56">
        <v>6</v>
      </c>
    </row>
    <row r="57" spans="1:2" x14ac:dyDescent="0.35">
      <c r="A57" s="9">
        <v>0.42236024844720499</v>
      </c>
      <c r="B57">
        <v>0</v>
      </c>
    </row>
    <row r="58" spans="1:2" x14ac:dyDescent="0.35">
      <c r="A58" s="9">
        <v>0.42369263607257202</v>
      </c>
      <c r="B58">
        <v>0</v>
      </c>
    </row>
    <row r="59" spans="1:2" x14ac:dyDescent="0.35">
      <c r="A59" s="9">
        <v>0.42452830188679247</v>
      </c>
      <c r="B59">
        <v>0</v>
      </c>
    </row>
    <row r="60" spans="1:2" x14ac:dyDescent="0.35">
      <c r="A60" s="9">
        <v>0.42499999999999999</v>
      </c>
      <c r="B60">
        <v>0</v>
      </c>
    </row>
    <row r="61" spans="1:2" x14ac:dyDescent="0.35">
      <c r="A61" s="9">
        <v>0.42691029900332228</v>
      </c>
      <c r="B61">
        <v>6</v>
      </c>
    </row>
    <row r="62" spans="1:2" x14ac:dyDescent="0.35">
      <c r="A62" s="9">
        <v>0.42727272727272725</v>
      </c>
      <c r="B62">
        <v>0</v>
      </c>
    </row>
    <row r="63" spans="1:2" x14ac:dyDescent="0.35">
      <c r="A63" s="9">
        <v>0.43381535038932145</v>
      </c>
      <c r="B63">
        <v>5</v>
      </c>
    </row>
    <row r="64" spans="1:2" x14ac:dyDescent="0.35">
      <c r="A64" s="9">
        <v>0.44555555555555554</v>
      </c>
      <c r="B64">
        <v>0</v>
      </c>
    </row>
    <row r="65" spans="1:2" x14ac:dyDescent="0.35">
      <c r="A65" s="9">
        <v>0.45373847729600547</v>
      </c>
      <c r="B65">
        <v>5</v>
      </c>
    </row>
    <row r="66" spans="1:2" x14ac:dyDescent="0.35">
      <c r="A66" s="9">
        <v>0.45424476295479604</v>
      </c>
      <c r="B66">
        <v>6</v>
      </c>
    </row>
    <row r="67" spans="1:2" x14ac:dyDescent="0.35">
      <c r="A67" s="9">
        <v>0.45428571428571429</v>
      </c>
      <c r="B67">
        <v>17</v>
      </c>
    </row>
    <row r="68" spans="1:2" x14ac:dyDescent="0.35">
      <c r="A68" s="9">
        <v>0.45833333333333331</v>
      </c>
      <c r="B68">
        <v>2</v>
      </c>
    </row>
    <row r="69" spans="1:2" x14ac:dyDescent="0.35">
      <c r="A69" s="9">
        <v>0.45929968167348795</v>
      </c>
      <c r="B69">
        <v>1</v>
      </c>
    </row>
    <row r="70" spans="1:2" x14ac:dyDescent="0.35">
      <c r="A70" s="9">
        <v>0.46078431372549017</v>
      </c>
      <c r="B70">
        <v>0</v>
      </c>
    </row>
    <row r="71" spans="1:2" x14ac:dyDescent="0.35">
      <c r="A71" s="9">
        <v>0.46637265711135611</v>
      </c>
      <c r="B71">
        <v>6</v>
      </c>
    </row>
    <row r="72" spans="1:2" x14ac:dyDescent="0.35">
      <c r="A72" s="9">
        <v>0.46666666666666667</v>
      </c>
      <c r="B72">
        <v>12</v>
      </c>
    </row>
    <row r="73" spans="1:2" x14ac:dyDescent="0.35">
      <c r="A73" s="9">
        <v>0.46801346801346799</v>
      </c>
      <c r="B73">
        <v>0</v>
      </c>
    </row>
    <row r="74" spans="1:2" x14ac:dyDescent="0.35">
      <c r="A74" s="9">
        <v>0.47086521483225424</v>
      </c>
      <c r="B74">
        <v>0</v>
      </c>
    </row>
    <row r="75" spans="1:2" x14ac:dyDescent="0.35">
      <c r="A75" s="9">
        <v>0.47187499999999999</v>
      </c>
      <c r="B75">
        <v>0</v>
      </c>
    </row>
    <row r="76" spans="1:2" x14ac:dyDescent="0.35">
      <c r="A76" s="9">
        <v>0.47247247247247248</v>
      </c>
      <c r="B76">
        <v>14</v>
      </c>
    </row>
    <row r="77" spans="1:2" x14ac:dyDescent="0.35">
      <c r="A77" s="9">
        <v>0.4745649263721553</v>
      </c>
      <c r="B77">
        <v>7</v>
      </c>
    </row>
    <row r="78" spans="1:2" x14ac:dyDescent="0.35">
      <c r="A78" s="9">
        <v>0.47499999999999998</v>
      </c>
      <c r="B78">
        <v>0</v>
      </c>
    </row>
    <row r="79" spans="1:2" x14ac:dyDescent="0.35">
      <c r="A79" s="9">
        <v>0.47851002865329512</v>
      </c>
      <c r="B79">
        <v>9</v>
      </c>
    </row>
    <row r="80" spans="1:2" x14ac:dyDescent="0.35">
      <c r="A80" s="9">
        <v>0.47952345495160087</v>
      </c>
      <c r="B80">
        <v>0</v>
      </c>
    </row>
    <row r="81" spans="1:2" x14ac:dyDescent="0.35">
      <c r="A81" s="9">
        <v>0.48</v>
      </c>
      <c r="B81">
        <v>0</v>
      </c>
    </row>
    <row r="82" spans="1:2" x14ac:dyDescent="0.35">
      <c r="A82" s="9">
        <v>0.48888888888888887</v>
      </c>
      <c r="B82">
        <v>0</v>
      </c>
    </row>
    <row r="83" spans="1:2" x14ac:dyDescent="0.35">
      <c r="A83" s="9">
        <v>0.48971193415637859</v>
      </c>
      <c r="B83">
        <v>0</v>
      </c>
    </row>
    <row r="84" spans="1:2" x14ac:dyDescent="0.35">
      <c r="A84" s="9">
        <v>0.48975791433891991</v>
      </c>
      <c r="B84">
        <v>0</v>
      </c>
    </row>
    <row r="85" spans="1:2" x14ac:dyDescent="0.35">
      <c r="A85" s="9">
        <v>0.48979591836734693</v>
      </c>
      <c r="B85">
        <v>0</v>
      </c>
    </row>
    <row r="86" spans="1:2" x14ac:dyDescent="0.35">
      <c r="A86" s="9">
        <v>0.48985507246376814</v>
      </c>
      <c r="B86">
        <v>0</v>
      </c>
    </row>
    <row r="87" spans="1:2" x14ac:dyDescent="0.35">
      <c r="A87" s="9">
        <v>0.48990683229813664</v>
      </c>
      <c r="B87">
        <v>0</v>
      </c>
    </row>
    <row r="88" spans="1:2" x14ac:dyDescent="0.35">
      <c r="A88" s="9">
        <v>0.48995363214837712</v>
      </c>
      <c r="B88">
        <v>1</v>
      </c>
    </row>
    <row r="89" spans="1:2" x14ac:dyDescent="0.35">
      <c r="A89" s="9">
        <v>0.49005288340468395</v>
      </c>
      <c r="B89">
        <v>3</v>
      </c>
    </row>
    <row r="90" spans="1:2" x14ac:dyDescent="0.35">
      <c r="A90" s="9">
        <v>0.49010416666666667</v>
      </c>
      <c r="B90">
        <v>1</v>
      </c>
    </row>
    <row r="91" spans="1:2" x14ac:dyDescent="0.35">
      <c r="A91" s="9">
        <v>0.49010848755583919</v>
      </c>
      <c r="B91">
        <v>0</v>
      </c>
    </row>
    <row r="92" spans="1:2" x14ac:dyDescent="0.35">
      <c r="A92" s="9">
        <v>0.49012158054711247</v>
      </c>
      <c r="B92">
        <v>0</v>
      </c>
    </row>
    <row r="93" spans="1:2" x14ac:dyDescent="0.35">
      <c r="A93" s="9">
        <v>0.49026345933562426</v>
      </c>
      <c r="B93">
        <v>69</v>
      </c>
    </row>
    <row r="94" spans="1:2" x14ac:dyDescent="0.35">
      <c r="A94" s="9">
        <v>0.49237029501525942</v>
      </c>
      <c r="B94">
        <v>44</v>
      </c>
    </row>
    <row r="95" spans="1:2" x14ac:dyDescent="0.35">
      <c r="A95" s="9">
        <v>0.5</v>
      </c>
      <c r="B95">
        <v>1.6</v>
      </c>
    </row>
    <row r="96" spans="1:2" x14ac:dyDescent="0.35">
      <c r="A96" s="9">
        <v>0.50049999999999994</v>
      </c>
      <c r="B96">
        <v>0</v>
      </c>
    </row>
    <row r="97" spans="1:2" x14ac:dyDescent="0.35">
      <c r="A97" s="9">
        <v>0.50166666666666671</v>
      </c>
      <c r="B97">
        <v>0</v>
      </c>
    </row>
    <row r="98" spans="1:2" x14ac:dyDescent="0.35">
      <c r="A98" s="9">
        <v>0.51461988304093564</v>
      </c>
      <c r="B98">
        <v>2</v>
      </c>
    </row>
    <row r="99" spans="1:2" x14ac:dyDescent="0.35">
      <c r="A99" s="9">
        <v>0.51570680628272247</v>
      </c>
      <c r="B99">
        <v>9</v>
      </c>
    </row>
    <row r="100" spans="1:2" x14ac:dyDescent="0.35">
      <c r="A100" s="9">
        <v>0.5220588235294118</v>
      </c>
      <c r="B100">
        <v>15</v>
      </c>
    </row>
    <row r="101" spans="1:2" x14ac:dyDescent="0.35">
      <c r="A101" s="9">
        <v>0.52500000000000002</v>
      </c>
      <c r="B101">
        <v>7.5</v>
      </c>
    </row>
    <row r="102" spans="1:2" x14ac:dyDescent="0.35">
      <c r="A102" s="9">
        <v>0.53549695740365111</v>
      </c>
      <c r="B102">
        <v>10</v>
      </c>
    </row>
    <row r="103" spans="1:2" x14ac:dyDescent="0.35">
      <c r="A103" s="9">
        <v>0.54488888888888887</v>
      </c>
      <c r="B103">
        <v>7</v>
      </c>
    </row>
    <row r="104" spans="1:2" x14ac:dyDescent="0.35">
      <c r="A104" s="9">
        <v>0.54500000000000004</v>
      </c>
      <c r="B104">
        <v>5</v>
      </c>
    </row>
    <row r="105" spans="1:2" x14ac:dyDescent="0.35">
      <c r="A105" s="9">
        <v>0.55000000000000004</v>
      </c>
      <c r="B105">
        <v>13</v>
      </c>
    </row>
    <row r="106" spans="1:2" x14ac:dyDescent="0.35">
      <c r="A106" s="9">
        <v>0.5546875</v>
      </c>
      <c r="B106">
        <v>0</v>
      </c>
    </row>
    <row r="107" spans="1:2" x14ac:dyDescent="0.35">
      <c r="A107" s="9">
        <v>0.60515873015873012</v>
      </c>
      <c r="B107">
        <v>0</v>
      </c>
    </row>
    <row r="108" spans="1:2" x14ac:dyDescent="0.35">
      <c r="A108" s="9">
        <v>0.64014466546112114</v>
      </c>
      <c r="B108">
        <v>0</v>
      </c>
    </row>
    <row r="109" spans="1:2" x14ac:dyDescent="0.35">
      <c r="A109" s="9" t="s">
        <v>132</v>
      </c>
      <c r="B109">
        <v>6.4553571428571432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E2EC7-7957-4B30-8212-81A01BDBA658}">
  <sheetPr codeName="Sheet13"/>
  <dimension ref="A3:B27"/>
  <sheetViews>
    <sheetView workbookViewId="0">
      <selection activeCell="M13" sqref="M13"/>
    </sheetView>
  </sheetViews>
  <sheetFormatPr defaultRowHeight="14.5" x14ac:dyDescent="0.35"/>
  <cols>
    <col min="1" max="1" width="12.36328125" bestFit="1" customWidth="1"/>
    <col min="2" max="2" width="17.36328125" bestFit="1" customWidth="1"/>
  </cols>
  <sheetData>
    <row r="3" spans="1:2" x14ac:dyDescent="0.35">
      <c r="A3" s="7" t="s">
        <v>131</v>
      </c>
      <c r="B3" t="s">
        <v>137</v>
      </c>
    </row>
    <row r="4" spans="1:2" x14ac:dyDescent="0.35">
      <c r="A4" s="8">
        <v>2</v>
      </c>
      <c r="B4">
        <v>1</v>
      </c>
    </row>
    <row r="5" spans="1:2" x14ac:dyDescent="0.35">
      <c r="A5" s="8">
        <v>2.1</v>
      </c>
      <c r="B5">
        <v>20</v>
      </c>
    </row>
    <row r="6" spans="1:2" x14ac:dyDescent="0.35">
      <c r="A6" s="8">
        <v>2.2000000000000002</v>
      </c>
      <c r="B6">
        <v>12</v>
      </c>
    </row>
    <row r="7" spans="1:2" x14ac:dyDescent="0.35">
      <c r="A7" s="8">
        <v>2.2999999999999998</v>
      </c>
      <c r="B7">
        <v>13</v>
      </c>
    </row>
    <row r="8" spans="1:2" x14ac:dyDescent="0.35">
      <c r="A8" s="8">
        <v>2.5</v>
      </c>
      <c r="B8">
        <v>6</v>
      </c>
    </row>
    <row r="9" spans="1:2" x14ac:dyDescent="0.35">
      <c r="A9" s="8">
        <v>2.6</v>
      </c>
      <c r="B9">
        <v>17</v>
      </c>
    </row>
    <row r="10" spans="1:2" x14ac:dyDescent="0.35">
      <c r="A10" s="8">
        <v>2.7</v>
      </c>
      <c r="B10">
        <v>15</v>
      </c>
    </row>
    <row r="11" spans="1:2" x14ac:dyDescent="0.35">
      <c r="A11" s="8">
        <v>2.8</v>
      </c>
      <c r="B11">
        <v>69</v>
      </c>
    </row>
    <row r="12" spans="1:2" x14ac:dyDescent="0.35">
      <c r="A12" s="8">
        <v>2.9</v>
      </c>
      <c r="B12">
        <v>16</v>
      </c>
    </row>
    <row r="13" spans="1:2" x14ac:dyDescent="0.35">
      <c r="A13" s="8">
        <v>3</v>
      </c>
      <c r="B13">
        <v>26</v>
      </c>
    </row>
    <row r="14" spans="1:2" x14ac:dyDescent="0.35">
      <c r="A14" s="8">
        <v>3.3</v>
      </c>
      <c r="B14">
        <v>13</v>
      </c>
    </row>
    <row r="15" spans="1:2" x14ac:dyDescent="0.35">
      <c r="A15" s="8">
        <v>3.8</v>
      </c>
      <c r="B15">
        <v>30</v>
      </c>
    </row>
    <row r="16" spans="1:2" x14ac:dyDescent="0.35">
      <c r="A16" s="8">
        <v>3.9</v>
      </c>
      <c r="B16">
        <v>0</v>
      </c>
    </row>
    <row r="17" spans="1:2" x14ac:dyDescent="0.35">
      <c r="A17" s="8">
        <v>4</v>
      </c>
      <c r="B17">
        <v>24</v>
      </c>
    </row>
    <row r="18" spans="1:2" x14ac:dyDescent="0.35">
      <c r="A18" s="8">
        <v>4.0999999999999996</v>
      </c>
      <c r="B18">
        <v>46</v>
      </c>
    </row>
    <row r="19" spans="1:2" x14ac:dyDescent="0.35">
      <c r="A19" s="8">
        <v>4.2</v>
      </c>
      <c r="B19">
        <v>9</v>
      </c>
    </row>
    <row r="20" spans="1:2" x14ac:dyDescent="0.35">
      <c r="A20" s="8">
        <v>4.3</v>
      </c>
      <c r="B20">
        <v>61</v>
      </c>
    </row>
    <row r="21" spans="1:2" x14ac:dyDescent="0.35">
      <c r="A21" s="8">
        <v>4.4000000000000004</v>
      </c>
      <c r="B21">
        <v>14</v>
      </c>
    </row>
    <row r="22" spans="1:2" x14ac:dyDescent="0.35">
      <c r="A22" s="8">
        <v>4.5</v>
      </c>
      <c r="B22">
        <v>42</v>
      </c>
    </row>
    <row r="23" spans="1:2" x14ac:dyDescent="0.35">
      <c r="A23" s="8">
        <v>4.5999999999999996</v>
      </c>
      <c r="B23">
        <v>177</v>
      </c>
    </row>
    <row r="24" spans="1:2" x14ac:dyDescent="0.35">
      <c r="A24" s="8">
        <v>4.7</v>
      </c>
      <c r="B24">
        <v>78</v>
      </c>
    </row>
    <row r="25" spans="1:2" x14ac:dyDescent="0.35">
      <c r="A25" s="8">
        <v>4.8</v>
      </c>
      <c r="B25">
        <v>22</v>
      </c>
    </row>
    <row r="26" spans="1:2" x14ac:dyDescent="0.35">
      <c r="A26" s="8">
        <v>5</v>
      </c>
      <c r="B26">
        <v>12</v>
      </c>
    </row>
    <row r="27" spans="1:2" x14ac:dyDescent="0.35">
      <c r="A27" s="8" t="s">
        <v>132</v>
      </c>
      <c r="B27">
        <v>723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DF02-A861-4911-8B4F-4D100D1BDEFB}">
  <sheetPr codeName="Sheet14"/>
  <dimension ref="A3:C83"/>
  <sheetViews>
    <sheetView topLeftCell="AW3" workbookViewId="0">
      <selection activeCell="AR25" sqref="AR25"/>
    </sheetView>
  </sheetViews>
  <sheetFormatPr defaultRowHeight="14.5" x14ac:dyDescent="0.35"/>
  <cols>
    <col min="1" max="1" width="77.81640625" bestFit="1" customWidth="1"/>
    <col min="2" max="2" width="17.36328125" bestFit="1" customWidth="1"/>
    <col min="3" max="4" width="23.81640625" bestFit="1" customWidth="1"/>
    <col min="5" max="5" width="11.81640625" bestFit="1" customWidth="1"/>
    <col min="6" max="6" width="22.1796875" bestFit="1" customWidth="1"/>
    <col min="7" max="7" width="28.6328125" bestFit="1" customWidth="1"/>
    <col min="8" max="8" width="57.54296875" bestFit="1" customWidth="1"/>
    <col min="9" max="9" width="52.7265625" bestFit="1" customWidth="1"/>
    <col min="10" max="10" width="46.26953125" bestFit="1" customWidth="1"/>
    <col min="11" max="11" width="38.1796875" bestFit="1" customWidth="1"/>
    <col min="12" max="12" width="46.453125" bestFit="1" customWidth="1"/>
    <col min="13" max="13" width="41.7265625" bestFit="1" customWidth="1"/>
    <col min="14" max="14" width="34.453125" bestFit="1" customWidth="1"/>
    <col min="15" max="15" width="45" bestFit="1" customWidth="1"/>
    <col min="16" max="16" width="61.1796875" bestFit="1" customWidth="1"/>
    <col min="17" max="17" width="45.36328125" bestFit="1" customWidth="1"/>
    <col min="18" max="18" width="49.54296875" bestFit="1" customWidth="1"/>
    <col min="19" max="19" width="46.36328125" bestFit="1" customWidth="1"/>
    <col min="20" max="20" width="54.36328125" bestFit="1" customWidth="1"/>
    <col min="21" max="21" width="60.7265625" bestFit="1" customWidth="1"/>
    <col min="22" max="22" width="50.90625" bestFit="1" customWidth="1"/>
    <col min="23" max="23" width="27.54296875" bestFit="1" customWidth="1"/>
    <col min="24" max="24" width="59.08984375" bestFit="1" customWidth="1"/>
    <col min="25" max="25" width="48" bestFit="1" customWidth="1"/>
    <col min="26" max="26" width="51.81640625" bestFit="1" customWidth="1"/>
    <col min="27" max="27" width="48.6328125" bestFit="1" customWidth="1"/>
    <col min="28" max="28" width="51.81640625" bestFit="1" customWidth="1"/>
    <col min="29" max="29" width="53.08984375" bestFit="1" customWidth="1"/>
    <col min="30" max="30" width="46.26953125" bestFit="1" customWidth="1"/>
    <col min="31" max="31" width="62.54296875" bestFit="1" customWidth="1"/>
    <col min="32" max="32" width="49.81640625" bestFit="1" customWidth="1"/>
    <col min="33" max="33" width="33.453125" bestFit="1" customWidth="1"/>
    <col min="34" max="34" width="22.7265625" bestFit="1" customWidth="1"/>
    <col min="35" max="35" width="53.08984375" bestFit="1" customWidth="1"/>
    <col min="36" max="36" width="53" bestFit="1" customWidth="1"/>
    <col min="37" max="37" width="55.6328125" bestFit="1" customWidth="1"/>
    <col min="38" max="38" width="48.6328125" bestFit="1" customWidth="1"/>
    <col min="39" max="39" width="30.1796875" bestFit="1" customWidth="1"/>
    <col min="40" max="40" width="65" bestFit="1" customWidth="1"/>
    <col min="41" max="41" width="52.26953125" bestFit="1" customWidth="1"/>
    <col min="42" max="42" width="67.81640625" bestFit="1" customWidth="1"/>
    <col min="43" max="43" width="35.7265625" bestFit="1" customWidth="1"/>
    <col min="44" max="44" width="30.453125" bestFit="1" customWidth="1"/>
    <col min="45" max="45" width="52.453125" bestFit="1" customWidth="1"/>
    <col min="46" max="46" width="39.54296875" bestFit="1" customWidth="1"/>
    <col min="47" max="47" width="44.7265625" bestFit="1" customWidth="1"/>
    <col min="48" max="48" width="37.81640625" bestFit="1" customWidth="1"/>
    <col min="49" max="49" width="32.6328125" bestFit="1" customWidth="1"/>
    <col min="50" max="50" width="66.6328125" bestFit="1" customWidth="1"/>
    <col min="51" max="51" width="56.08984375" bestFit="1" customWidth="1"/>
    <col min="52" max="52" width="53.08984375" bestFit="1" customWidth="1"/>
    <col min="53" max="53" width="68.81640625" bestFit="1" customWidth="1"/>
    <col min="54" max="54" width="67.6328125" bestFit="1" customWidth="1"/>
    <col min="55" max="55" width="45.90625" bestFit="1" customWidth="1"/>
    <col min="56" max="56" width="50.90625" bestFit="1" customWidth="1"/>
    <col min="57" max="57" width="44.26953125" bestFit="1" customWidth="1"/>
    <col min="58" max="58" width="65.26953125" bestFit="1" customWidth="1"/>
    <col min="59" max="59" width="70.1796875" bestFit="1" customWidth="1"/>
    <col min="60" max="60" width="67.36328125" bestFit="1" customWidth="1"/>
    <col min="61" max="61" width="57.08984375" bestFit="1" customWidth="1"/>
    <col min="62" max="62" width="43.54296875" bestFit="1" customWidth="1"/>
    <col min="63" max="63" width="51.90625" bestFit="1" customWidth="1"/>
    <col min="64" max="64" width="58.08984375" bestFit="1" customWidth="1"/>
    <col min="65" max="65" width="64.08984375" bestFit="1" customWidth="1"/>
    <col min="66" max="66" width="40.36328125" bestFit="1" customWidth="1"/>
    <col min="67" max="67" width="62.08984375" bestFit="1" customWidth="1"/>
    <col min="68" max="68" width="67.81640625" bestFit="1" customWidth="1"/>
    <col min="69" max="69" width="52.81640625" bestFit="1" customWidth="1"/>
    <col min="70" max="70" width="70.26953125" bestFit="1" customWidth="1"/>
    <col min="71" max="71" width="51.54296875" bestFit="1" customWidth="1"/>
    <col min="72" max="72" width="64.81640625" bestFit="1" customWidth="1"/>
    <col min="73" max="73" width="28.36328125" bestFit="1" customWidth="1"/>
    <col min="74" max="74" width="74.7265625" bestFit="1" customWidth="1"/>
    <col min="75" max="75" width="37.7265625" bestFit="1" customWidth="1"/>
    <col min="76" max="76" width="56.90625" bestFit="1" customWidth="1"/>
    <col min="77" max="77" width="43.08984375" bestFit="1" customWidth="1"/>
    <col min="78" max="78" width="58.453125" bestFit="1" customWidth="1"/>
    <col min="79" max="79" width="58.26953125" bestFit="1" customWidth="1"/>
    <col min="80" max="80" width="32.36328125" bestFit="1" customWidth="1"/>
    <col min="81" max="81" width="65.36328125" bestFit="1" customWidth="1"/>
    <col min="82" max="82" width="60.6328125" bestFit="1" customWidth="1"/>
    <col min="83" max="83" width="62.453125" bestFit="1" customWidth="1"/>
    <col min="84" max="84" width="49.36328125" bestFit="1" customWidth="1"/>
    <col min="85" max="85" width="57.54296875" bestFit="1" customWidth="1"/>
    <col min="86" max="86" width="52.7265625" bestFit="1" customWidth="1"/>
    <col min="87" max="87" width="46.26953125" bestFit="1" customWidth="1"/>
    <col min="88" max="88" width="38.1796875" bestFit="1" customWidth="1"/>
    <col min="89" max="89" width="46.453125" bestFit="1" customWidth="1"/>
    <col min="90" max="90" width="41.7265625" bestFit="1" customWidth="1"/>
    <col min="91" max="91" width="34.453125" bestFit="1" customWidth="1"/>
    <col min="92" max="92" width="45" bestFit="1" customWidth="1"/>
    <col min="93" max="93" width="61.1796875" bestFit="1" customWidth="1"/>
    <col min="94" max="94" width="45.36328125" bestFit="1" customWidth="1"/>
    <col min="95" max="95" width="49.54296875" bestFit="1" customWidth="1"/>
    <col min="96" max="96" width="46.36328125" bestFit="1" customWidth="1"/>
    <col min="97" max="97" width="54.36328125" bestFit="1" customWidth="1"/>
    <col min="98" max="98" width="60.7265625" bestFit="1" customWidth="1"/>
    <col min="99" max="99" width="50.90625" bestFit="1" customWidth="1"/>
    <col min="100" max="100" width="27.54296875" bestFit="1" customWidth="1"/>
    <col min="101" max="101" width="59.08984375" bestFit="1" customWidth="1"/>
    <col min="102" max="102" width="48" bestFit="1" customWidth="1"/>
    <col min="103" max="103" width="51.81640625" bestFit="1" customWidth="1"/>
    <col min="104" max="104" width="48.6328125" bestFit="1" customWidth="1"/>
    <col min="105" max="105" width="51.81640625" bestFit="1" customWidth="1"/>
    <col min="106" max="106" width="53.08984375" bestFit="1" customWidth="1"/>
    <col min="107" max="107" width="46.26953125" bestFit="1" customWidth="1"/>
    <col min="108" max="108" width="62.54296875" bestFit="1" customWidth="1"/>
    <col min="109" max="109" width="49.81640625" bestFit="1" customWidth="1"/>
    <col min="110" max="110" width="33.453125" bestFit="1" customWidth="1"/>
    <col min="111" max="111" width="22.7265625" bestFit="1" customWidth="1"/>
    <col min="112" max="112" width="53.08984375" bestFit="1" customWidth="1"/>
    <col min="113" max="113" width="53" bestFit="1" customWidth="1"/>
    <col min="114" max="114" width="55.6328125" bestFit="1" customWidth="1"/>
    <col min="115" max="115" width="48.6328125" bestFit="1" customWidth="1"/>
    <col min="116" max="116" width="30.1796875" bestFit="1" customWidth="1"/>
    <col min="117" max="117" width="65" bestFit="1" customWidth="1"/>
    <col min="118" max="118" width="52.26953125" bestFit="1" customWidth="1"/>
    <col min="119" max="119" width="67.81640625" bestFit="1" customWidth="1"/>
    <col min="120" max="120" width="35.7265625" bestFit="1" customWidth="1"/>
    <col min="121" max="121" width="30.453125" bestFit="1" customWidth="1"/>
    <col min="122" max="122" width="52.453125" bestFit="1" customWidth="1"/>
    <col min="123" max="123" width="39.54296875" bestFit="1" customWidth="1"/>
    <col min="124" max="124" width="44.7265625" bestFit="1" customWidth="1"/>
    <col min="125" max="125" width="37.81640625" bestFit="1" customWidth="1"/>
    <col min="126" max="126" width="32.6328125" bestFit="1" customWidth="1"/>
    <col min="127" max="127" width="66.6328125" bestFit="1" customWidth="1"/>
    <col min="128" max="128" width="56.08984375" bestFit="1" customWidth="1"/>
    <col min="129" max="129" width="53.08984375" bestFit="1" customWidth="1"/>
    <col min="130" max="130" width="68.81640625" bestFit="1" customWidth="1"/>
    <col min="131" max="131" width="67.6328125" bestFit="1" customWidth="1"/>
    <col min="132" max="132" width="45.90625" bestFit="1" customWidth="1"/>
    <col min="133" max="133" width="50.90625" bestFit="1" customWidth="1"/>
    <col min="134" max="134" width="44.26953125" bestFit="1" customWidth="1"/>
    <col min="135" max="135" width="65.26953125" bestFit="1" customWidth="1"/>
    <col min="136" max="136" width="70.1796875" bestFit="1" customWidth="1"/>
    <col min="137" max="137" width="67.36328125" bestFit="1" customWidth="1"/>
    <col min="138" max="138" width="57.08984375" bestFit="1" customWidth="1"/>
    <col min="139" max="139" width="43.54296875" bestFit="1" customWidth="1"/>
    <col min="140" max="140" width="51.90625" bestFit="1" customWidth="1"/>
    <col min="141" max="141" width="58.08984375" bestFit="1" customWidth="1"/>
    <col min="142" max="142" width="64.08984375" bestFit="1" customWidth="1"/>
    <col min="143" max="143" width="40.36328125" bestFit="1" customWidth="1"/>
    <col min="144" max="144" width="62.08984375" bestFit="1" customWidth="1"/>
    <col min="145" max="145" width="67.81640625" bestFit="1" customWidth="1"/>
    <col min="146" max="146" width="52.81640625" bestFit="1" customWidth="1"/>
    <col min="147" max="147" width="70.26953125" bestFit="1" customWidth="1"/>
    <col min="148" max="148" width="51.54296875" bestFit="1" customWidth="1"/>
    <col min="149" max="149" width="64.81640625" bestFit="1" customWidth="1"/>
    <col min="150" max="150" width="28.36328125" bestFit="1" customWidth="1"/>
    <col min="151" max="151" width="74.7265625" bestFit="1" customWidth="1"/>
    <col min="152" max="152" width="37.7265625" bestFit="1" customWidth="1"/>
    <col min="153" max="153" width="56.90625" bestFit="1" customWidth="1"/>
    <col min="154" max="154" width="43.08984375" bestFit="1" customWidth="1"/>
    <col min="155" max="155" width="58.453125" bestFit="1" customWidth="1"/>
    <col min="156" max="156" width="22.1796875" bestFit="1" customWidth="1"/>
    <col min="157" max="157" width="28.6328125" bestFit="1" customWidth="1"/>
  </cols>
  <sheetData>
    <row r="3" spans="1:3" x14ac:dyDescent="0.35">
      <c r="A3" s="7" t="s">
        <v>144</v>
      </c>
      <c r="B3" t="s">
        <v>137</v>
      </c>
      <c r="C3" t="s">
        <v>133</v>
      </c>
    </row>
    <row r="4" spans="1:3" x14ac:dyDescent="0.35">
      <c r="A4" s="8" t="s">
        <v>29</v>
      </c>
      <c r="B4">
        <v>334</v>
      </c>
      <c r="C4">
        <v>3.7612903225806478</v>
      </c>
    </row>
    <row r="5" spans="1:3" x14ac:dyDescent="0.35">
      <c r="A5" s="10" t="s">
        <v>106</v>
      </c>
      <c r="B5">
        <v>69</v>
      </c>
      <c r="C5">
        <v>2.8</v>
      </c>
    </row>
    <row r="6" spans="1:3" x14ac:dyDescent="0.35">
      <c r="A6" s="10" t="s">
        <v>53</v>
      </c>
      <c r="B6">
        <v>5</v>
      </c>
      <c r="C6">
        <v>3.8</v>
      </c>
    </row>
    <row r="7" spans="1:3" x14ac:dyDescent="0.35">
      <c r="A7" s="10" t="s">
        <v>67</v>
      </c>
      <c r="B7">
        <v>0</v>
      </c>
      <c r="C7">
        <v>3.9</v>
      </c>
    </row>
    <row r="8" spans="1:3" x14ac:dyDescent="0.35">
      <c r="A8" s="10" t="s">
        <v>91</v>
      </c>
      <c r="B8">
        <v>0</v>
      </c>
      <c r="C8">
        <v>3.9</v>
      </c>
    </row>
    <row r="9" spans="1:3" x14ac:dyDescent="0.35">
      <c r="A9" s="10" t="s">
        <v>74</v>
      </c>
      <c r="B9">
        <v>7</v>
      </c>
      <c r="C9">
        <v>2.2999999999999998</v>
      </c>
    </row>
    <row r="10" spans="1:3" x14ac:dyDescent="0.35">
      <c r="A10" s="10" t="s">
        <v>76</v>
      </c>
      <c r="B10">
        <v>44</v>
      </c>
      <c r="C10">
        <v>4.5999999999999996</v>
      </c>
    </row>
    <row r="11" spans="1:3" x14ac:dyDescent="0.35">
      <c r="A11" s="10" t="s">
        <v>93</v>
      </c>
      <c r="B11">
        <v>0</v>
      </c>
      <c r="C11">
        <v>3.9</v>
      </c>
    </row>
    <row r="12" spans="1:3" x14ac:dyDescent="0.35">
      <c r="A12" s="10" t="s">
        <v>128</v>
      </c>
      <c r="B12">
        <v>13</v>
      </c>
      <c r="C12">
        <v>3.3</v>
      </c>
    </row>
    <row r="13" spans="1:3" x14ac:dyDescent="0.35">
      <c r="A13" s="10" t="s">
        <v>117</v>
      </c>
      <c r="B13">
        <v>0</v>
      </c>
      <c r="C13">
        <v>3.9</v>
      </c>
    </row>
    <row r="14" spans="1:3" x14ac:dyDescent="0.35">
      <c r="A14" s="10" t="s">
        <v>97</v>
      </c>
      <c r="B14">
        <v>12</v>
      </c>
      <c r="C14">
        <v>4.8</v>
      </c>
    </row>
    <row r="15" spans="1:3" x14ac:dyDescent="0.35">
      <c r="A15" s="10" t="s">
        <v>103</v>
      </c>
      <c r="B15">
        <v>0</v>
      </c>
      <c r="C15">
        <v>3.9</v>
      </c>
    </row>
    <row r="16" spans="1:3" x14ac:dyDescent="0.35">
      <c r="A16" s="10" t="s">
        <v>40</v>
      </c>
      <c r="B16">
        <v>0</v>
      </c>
      <c r="C16">
        <v>3.9</v>
      </c>
    </row>
    <row r="17" spans="1:3" x14ac:dyDescent="0.35">
      <c r="A17" s="10" t="s">
        <v>34</v>
      </c>
      <c r="B17">
        <v>13</v>
      </c>
      <c r="C17">
        <v>2.1</v>
      </c>
    </row>
    <row r="18" spans="1:3" x14ac:dyDescent="0.35">
      <c r="A18" s="10" t="s">
        <v>120</v>
      </c>
      <c r="B18">
        <v>0</v>
      </c>
      <c r="C18">
        <v>3.9</v>
      </c>
    </row>
    <row r="19" spans="1:3" x14ac:dyDescent="0.35">
      <c r="A19" s="10" t="s">
        <v>84</v>
      </c>
      <c r="B19">
        <v>0</v>
      </c>
      <c r="C19">
        <v>3.9</v>
      </c>
    </row>
    <row r="20" spans="1:3" x14ac:dyDescent="0.35">
      <c r="A20" s="10" t="s">
        <v>119</v>
      </c>
      <c r="B20">
        <v>0</v>
      </c>
      <c r="C20">
        <v>3.9</v>
      </c>
    </row>
    <row r="21" spans="1:3" x14ac:dyDescent="0.35">
      <c r="A21" s="10" t="s">
        <v>82</v>
      </c>
      <c r="B21">
        <v>6</v>
      </c>
      <c r="C21">
        <v>2.2000000000000002</v>
      </c>
    </row>
    <row r="22" spans="1:3" x14ac:dyDescent="0.35">
      <c r="A22" s="10" t="s">
        <v>73</v>
      </c>
      <c r="B22">
        <v>0</v>
      </c>
      <c r="C22">
        <v>3.9</v>
      </c>
    </row>
    <row r="23" spans="1:3" x14ac:dyDescent="0.35">
      <c r="A23" s="10" t="s">
        <v>62</v>
      </c>
      <c r="B23">
        <v>0</v>
      </c>
      <c r="C23">
        <v>3.9</v>
      </c>
    </row>
    <row r="24" spans="1:3" x14ac:dyDescent="0.35">
      <c r="A24" s="10" t="s">
        <v>109</v>
      </c>
      <c r="B24">
        <v>17</v>
      </c>
      <c r="C24">
        <v>2.6</v>
      </c>
    </row>
    <row r="25" spans="1:3" x14ac:dyDescent="0.35">
      <c r="A25" s="10" t="s">
        <v>87</v>
      </c>
      <c r="B25">
        <v>0</v>
      </c>
      <c r="C25">
        <v>3.9</v>
      </c>
    </row>
    <row r="26" spans="1:3" x14ac:dyDescent="0.35">
      <c r="A26" s="10" t="s">
        <v>111</v>
      </c>
      <c r="B26">
        <v>2</v>
      </c>
      <c r="C26">
        <v>5</v>
      </c>
    </row>
    <row r="27" spans="1:3" x14ac:dyDescent="0.35">
      <c r="A27" s="10" t="s">
        <v>78</v>
      </c>
      <c r="B27">
        <v>6</v>
      </c>
      <c r="C27">
        <v>2.2000000000000002</v>
      </c>
    </row>
    <row r="28" spans="1:3" x14ac:dyDescent="0.35">
      <c r="A28" s="10" t="s">
        <v>99</v>
      </c>
      <c r="B28">
        <v>0</v>
      </c>
      <c r="C28">
        <v>3.9</v>
      </c>
    </row>
    <row r="29" spans="1:3" x14ac:dyDescent="0.35">
      <c r="A29" s="10" t="s">
        <v>96</v>
      </c>
      <c r="B29">
        <v>0</v>
      </c>
      <c r="C29">
        <v>3.9</v>
      </c>
    </row>
    <row r="30" spans="1:3" x14ac:dyDescent="0.35">
      <c r="A30" s="10" t="s">
        <v>81</v>
      </c>
      <c r="B30">
        <v>1</v>
      </c>
      <c r="C30">
        <v>5</v>
      </c>
    </row>
    <row r="31" spans="1:3" x14ac:dyDescent="0.35">
      <c r="A31" s="10" t="s">
        <v>126</v>
      </c>
      <c r="B31">
        <v>0</v>
      </c>
      <c r="C31">
        <v>3.9</v>
      </c>
    </row>
    <row r="32" spans="1:3" x14ac:dyDescent="0.35">
      <c r="A32" s="10" t="s">
        <v>114</v>
      </c>
      <c r="B32">
        <v>0</v>
      </c>
      <c r="C32">
        <v>3.9</v>
      </c>
    </row>
    <row r="33" spans="1:3" x14ac:dyDescent="0.35">
      <c r="A33" s="10" t="s">
        <v>94</v>
      </c>
      <c r="B33">
        <v>0</v>
      </c>
      <c r="C33">
        <v>3.9</v>
      </c>
    </row>
    <row r="34" spans="1:3" x14ac:dyDescent="0.35">
      <c r="A34" s="10" t="s">
        <v>116</v>
      </c>
      <c r="B34">
        <v>0</v>
      </c>
      <c r="C34">
        <v>3.9</v>
      </c>
    </row>
    <row r="35" spans="1:3" x14ac:dyDescent="0.35">
      <c r="A35" s="10" t="s">
        <v>75</v>
      </c>
      <c r="B35">
        <v>0</v>
      </c>
      <c r="C35">
        <v>3.9</v>
      </c>
    </row>
    <row r="36" spans="1:3" x14ac:dyDescent="0.35">
      <c r="A36" s="10" t="s">
        <v>92</v>
      </c>
      <c r="B36">
        <v>0</v>
      </c>
      <c r="C36">
        <v>3.9</v>
      </c>
    </row>
    <row r="37" spans="1:3" x14ac:dyDescent="0.35">
      <c r="A37" s="10" t="s">
        <v>125</v>
      </c>
      <c r="B37">
        <v>2</v>
      </c>
      <c r="C37">
        <v>5</v>
      </c>
    </row>
    <row r="38" spans="1:3" x14ac:dyDescent="0.35">
      <c r="A38" s="10" t="s">
        <v>121</v>
      </c>
      <c r="B38">
        <v>0</v>
      </c>
      <c r="C38">
        <v>3.9</v>
      </c>
    </row>
    <row r="39" spans="1:3" x14ac:dyDescent="0.35">
      <c r="A39" s="10" t="s">
        <v>88</v>
      </c>
      <c r="B39">
        <v>0</v>
      </c>
      <c r="C39">
        <v>3.9</v>
      </c>
    </row>
    <row r="40" spans="1:3" x14ac:dyDescent="0.35">
      <c r="A40" s="10" t="s">
        <v>55</v>
      </c>
      <c r="B40">
        <v>7</v>
      </c>
      <c r="C40">
        <v>2.1</v>
      </c>
    </row>
    <row r="41" spans="1:3" x14ac:dyDescent="0.35">
      <c r="A41" s="10" t="s">
        <v>124</v>
      </c>
      <c r="B41">
        <v>9</v>
      </c>
      <c r="C41">
        <v>4.3</v>
      </c>
    </row>
    <row r="42" spans="1:3" x14ac:dyDescent="0.35">
      <c r="A42" s="10" t="s">
        <v>112</v>
      </c>
      <c r="B42">
        <v>1</v>
      </c>
      <c r="C42">
        <v>4</v>
      </c>
    </row>
    <row r="43" spans="1:3" x14ac:dyDescent="0.35">
      <c r="A43" s="10" t="s">
        <v>113</v>
      </c>
      <c r="B43">
        <v>15</v>
      </c>
      <c r="C43">
        <v>2.7</v>
      </c>
    </row>
    <row r="44" spans="1:3" x14ac:dyDescent="0.35">
      <c r="A44" s="10" t="s">
        <v>35</v>
      </c>
      <c r="B44">
        <v>7</v>
      </c>
      <c r="C44">
        <v>4.3</v>
      </c>
    </row>
    <row r="45" spans="1:3" x14ac:dyDescent="0.35">
      <c r="A45" s="10" t="s">
        <v>36</v>
      </c>
      <c r="B45">
        <v>3</v>
      </c>
      <c r="C45">
        <v>5</v>
      </c>
    </row>
    <row r="46" spans="1:3" x14ac:dyDescent="0.35">
      <c r="A46" s="10" t="s">
        <v>101</v>
      </c>
      <c r="B46">
        <v>6</v>
      </c>
      <c r="C46">
        <v>4.5</v>
      </c>
    </row>
    <row r="47" spans="1:3" x14ac:dyDescent="0.35">
      <c r="A47" s="10" t="s">
        <v>65</v>
      </c>
      <c r="B47">
        <v>5</v>
      </c>
      <c r="C47">
        <v>4.8</v>
      </c>
    </row>
    <row r="48" spans="1:3" x14ac:dyDescent="0.35">
      <c r="A48" s="10" t="s">
        <v>41</v>
      </c>
      <c r="B48">
        <v>9</v>
      </c>
      <c r="C48">
        <v>4.3</v>
      </c>
    </row>
    <row r="49" spans="1:3" x14ac:dyDescent="0.35">
      <c r="A49" s="10" t="s">
        <v>71</v>
      </c>
      <c r="B49">
        <v>1</v>
      </c>
      <c r="C49">
        <v>3</v>
      </c>
    </row>
    <row r="50" spans="1:3" x14ac:dyDescent="0.35">
      <c r="A50" s="10" t="s">
        <v>98</v>
      </c>
      <c r="B50">
        <v>14</v>
      </c>
      <c r="C50">
        <v>4.0999999999999996</v>
      </c>
    </row>
    <row r="51" spans="1:3" x14ac:dyDescent="0.35">
      <c r="A51" s="10" t="s">
        <v>118</v>
      </c>
      <c r="B51">
        <v>0</v>
      </c>
      <c r="C51">
        <v>3.9</v>
      </c>
    </row>
    <row r="52" spans="1:3" x14ac:dyDescent="0.35">
      <c r="A52" s="10" t="s">
        <v>95</v>
      </c>
      <c r="B52">
        <v>0</v>
      </c>
      <c r="C52">
        <v>3.9</v>
      </c>
    </row>
    <row r="53" spans="1:3" x14ac:dyDescent="0.35">
      <c r="A53" s="10" t="s">
        <v>28</v>
      </c>
      <c r="B53">
        <v>0</v>
      </c>
      <c r="C53">
        <v>3.9</v>
      </c>
    </row>
    <row r="54" spans="1:3" x14ac:dyDescent="0.35">
      <c r="A54" s="10" t="s">
        <v>104</v>
      </c>
      <c r="B54">
        <v>10</v>
      </c>
      <c r="C54">
        <v>3</v>
      </c>
    </row>
    <row r="55" spans="1:3" x14ac:dyDescent="0.35">
      <c r="A55" s="10" t="s">
        <v>123</v>
      </c>
      <c r="B55">
        <v>2</v>
      </c>
      <c r="C55">
        <v>5</v>
      </c>
    </row>
    <row r="56" spans="1:3" x14ac:dyDescent="0.35">
      <c r="A56" s="10" t="s">
        <v>64</v>
      </c>
      <c r="B56">
        <v>0</v>
      </c>
      <c r="C56">
        <v>3.9</v>
      </c>
    </row>
    <row r="57" spans="1:3" x14ac:dyDescent="0.35">
      <c r="A57" s="10" t="s">
        <v>108</v>
      </c>
      <c r="B57">
        <v>36</v>
      </c>
      <c r="C57">
        <v>4.3</v>
      </c>
    </row>
    <row r="58" spans="1:3" x14ac:dyDescent="0.35">
      <c r="A58" s="10" t="s">
        <v>127</v>
      </c>
      <c r="B58">
        <v>0</v>
      </c>
      <c r="C58">
        <v>3.9</v>
      </c>
    </row>
    <row r="59" spans="1:3" x14ac:dyDescent="0.35">
      <c r="A59" s="10" t="s">
        <v>102</v>
      </c>
      <c r="B59">
        <v>0</v>
      </c>
      <c r="C59">
        <v>3.9</v>
      </c>
    </row>
    <row r="60" spans="1:3" x14ac:dyDescent="0.35">
      <c r="A60" s="10" t="s">
        <v>86</v>
      </c>
      <c r="B60">
        <v>0</v>
      </c>
      <c r="C60">
        <v>3.9</v>
      </c>
    </row>
    <row r="61" spans="1:3" x14ac:dyDescent="0.35">
      <c r="A61" s="10" t="s">
        <v>105</v>
      </c>
      <c r="B61">
        <v>1</v>
      </c>
      <c r="C61">
        <v>2</v>
      </c>
    </row>
    <row r="62" spans="1:3" x14ac:dyDescent="0.35">
      <c r="A62" s="10" t="s">
        <v>110</v>
      </c>
      <c r="B62">
        <v>6</v>
      </c>
      <c r="C62">
        <v>2.2999999999999998</v>
      </c>
    </row>
    <row r="63" spans="1:3" x14ac:dyDescent="0.35">
      <c r="A63" s="10" t="s">
        <v>100</v>
      </c>
      <c r="B63">
        <v>5</v>
      </c>
      <c r="C63">
        <v>3</v>
      </c>
    </row>
    <row r="64" spans="1:3" x14ac:dyDescent="0.35">
      <c r="A64" s="8" t="s">
        <v>20</v>
      </c>
      <c r="B64">
        <v>38</v>
      </c>
      <c r="C64">
        <v>3.8611111111111103</v>
      </c>
    </row>
    <row r="65" spans="1:3" x14ac:dyDescent="0.35">
      <c r="A65" s="10" t="s">
        <v>48</v>
      </c>
      <c r="B65">
        <v>0</v>
      </c>
      <c r="C65">
        <v>3.9</v>
      </c>
    </row>
    <row r="66" spans="1:3" x14ac:dyDescent="0.35">
      <c r="A66" s="10" t="s">
        <v>21</v>
      </c>
      <c r="B66">
        <v>15</v>
      </c>
      <c r="C66">
        <v>4</v>
      </c>
    </row>
    <row r="67" spans="1:3" x14ac:dyDescent="0.35">
      <c r="A67" s="10" t="s">
        <v>39</v>
      </c>
      <c r="B67">
        <v>0</v>
      </c>
      <c r="C67">
        <v>3.9</v>
      </c>
    </row>
    <row r="68" spans="1:3" x14ac:dyDescent="0.35">
      <c r="A68" s="10" t="s">
        <v>31</v>
      </c>
      <c r="B68">
        <v>6</v>
      </c>
      <c r="C68">
        <v>2.5</v>
      </c>
    </row>
    <row r="69" spans="1:3" x14ac:dyDescent="0.35">
      <c r="A69" s="10" t="s">
        <v>46</v>
      </c>
      <c r="B69">
        <v>0</v>
      </c>
      <c r="C69">
        <v>3.9</v>
      </c>
    </row>
    <row r="70" spans="1:3" x14ac:dyDescent="0.35">
      <c r="A70" s="10" t="s">
        <v>22</v>
      </c>
      <c r="B70">
        <v>5</v>
      </c>
      <c r="C70">
        <v>4.5999999999999996</v>
      </c>
    </row>
    <row r="71" spans="1:3" x14ac:dyDescent="0.35">
      <c r="A71" s="10" t="s">
        <v>19</v>
      </c>
      <c r="B71">
        <v>0</v>
      </c>
      <c r="C71">
        <v>3.9</v>
      </c>
    </row>
    <row r="72" spans="1:3" x14ac:dyDescent="0.35">
      <c r="A72" s="10" t="s">
        <v>61</v>
      </c>
      <c r="B72">
        <v>0</v>
      </c>
      <c r="C72">
        <v>3.9</v>
      </c>
    </row>
    <row r="73" spans="1:3" x14ac:dyDescent="0.35">
      <c r="A73" s="10" t="s">
        <v>58</v>
      </c>
      <c r="B73">
        <v>0</v>
      </c>
      <c r="C73">
        <v>3.9</v>
      </c>
    </row>
    <row r="74" spans="1:3" x14ac:dyDescent="0.35">
      <c r="A74" s="10" t="s">
        <v>90</v>
      </c>
      <c r="B74">
        <v>0</v>
      </c>
      <c r="C74">
        <v>3.9</v>
      </c>
    </row>
    <row r="75" spans="1:3" x14ac:dyDescent="0.35">
      <c r="A75" s="10" t="s">
        <v>49</v>
      </c>
      <c r="B75">
        <v>0</v>
      </c>
      <c r="C75">
        <v>3.9</v>
      </c>
    </row>
    <row r="76" spans="1:3" x14ac:dyDescent="0.35">
      <c r="A76" s="10" t="s">
        <v>59</v>
      </c>
      <c r="B76">
        <v>0</v>
      </c>
      <c r="C76">
        <v>3.9</v>
      </c>
    </row>
    <row r="77" spans="1:3" x14ac:dyDescent="0.35">
      <c r="A77" s="10" t="s">
        <v>23</v>
      </c>
      <c r="B77">
        <v>12</v>
      </c>
      <c r="C77">
        <v>3.8</v>
      </c>
    </row>
    <row r="78" spans="1:3" x14ac:dyDescent="0.35">
      <c r="A78" s="10" t="s">
        <v>33</v>
      </c>
      <c r="B78">
        <v>0</v>
      </c>
      <c r="C78">
        <v>3.9</v>
      </c>
    </row>
    <row r="79" spans="1:3" x14ac:dyDescent="0.35">
      <c r="A79" s="10" t="s">
        <v>50</v>
      </c>
      <c r="B79">
        <v>0</v>
      </c>
      <c r="C79">
        <v>3.9</v>
      </c>
    </row>
    <row r="80" spans="1:3" x14ac:dyDescent="0.35">
      <c r="A80" s="10" t="s">
        <v>43</v>
      </c>
      <c r="B80">
        <v>0</v>
      </c>
      <c r="C80">
        <v>3.9</v>
      </c>
    </row>
    <row r="81" spans="1:3" x14ac:dyDescent="0.35">
      <c r="A81" s="10" t="s">
        <v>56</v>
      </c>
      <c r="B81">
        <v>0</v>
      </c>
      <c r="C81">
        <v>3.9</v>
      </c>
    </row>
    <row r="82" spans="1:3" x14ac:dyDescent="0.35">
      <c r="A82" s="10" t="s">
        <v>57</v>
      </c>
      <c r="B82">
        <v>0</v>
      </c>
      <c r="C82">
        <v>3.9</v>
      </c>
    </row>
    <row r="83" spans="1:3" x14ac:dyDescent="0.35">
      <c r="A83" s="8" t="s">
        <v>132</v>
      </c>
      <c r="B83">
        <v>372</v>
      </c>
      <c r="C83">
        <v>3.7837499999999991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03CC-0538-4579-A098-2B160ED8DB42}">
  <sheetPr codeName="Sheet15"/>
  <dimension ref="A1"/>
  <sheetViews>
    <sheetView workbookViewId="0">
      <selection activeCell="M13" sqref="M13"/>
    </sheetView>
  </sheetViews>
  <sheetFormatPr defaultRowHeight="14.5" x14ac:dyDescent="0.3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26C19-ED77-4EE5-9D2F-21EE10D5EDC5}">
  <sheetPr codeName="Sheet16"/>
  <dimension ref="A3:B7"/>
  <sheetViews>
    <sheetView workbookViewId="0">
      <selection activeCell="C17" sqref="C17"/>
    </sheetView>
  </sheetViews>
  <sheetFormatPr defaultRowHeight="14.5" x14ac:dyDescent="0.35"/>
  <cols>
    <col min="1" max="1" width="12.36328125" bestFit="1" customWidth="1"/>
    <col min="2" max="3" width="15.26953125" bestFit="1" customWidth="1"/>
    <col min="4" max="5" width="10.7265625" bestFit="1" customWidth="1"/>
    <col min="6" max="109" width="90.1796875" bestFit="1" customWidth="1"/>
    <col min="110" max="111" width="10.7265625" bestFit="1" customWidth="1"/>
  </cols>
  <sheetData>
    <row r="3" spans="1:2" x14ac:dyDescent="0.35">
      <c r="A3" s="7" t="s">
        <v>131</v>
      </c>
      <c r="B3" t="s">
        <v>136</v>
      </c>
    </row>
    <row r="4" spans="1:2" x14ac:dyDescent="0.35">
      <c r="A4" s="8" t="s">
        <v>17</v>
      </c>
      <c r="B4">
        <v>23</v>
      </c>
    </row>
    <row r="5" spans="1:2" x14ac:dyDescent="0.35">
      <c r="A5" s="8" t="s">
        <v>14</v>
      </c>
      <c r="B5">
        <v>77</v>
      </c>
    </row>
    <row r="6" spans="1:2" x14ac:dyDescent="0.35">
      <c r="A6" s="8" t="s">
        <v>32</v>
      </c>
      <c r="B6">
        <v>12</v>
      </c>
    </row>
    <row r="7" spans="1:2" x14ac:dyDescent="0.35">
      <c r="A7" s="8" t="s">
        <v>132</v>
      </c>
      <c r="B7">
        <v>112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6E11-A989-4CF8-8645-B58A38E21C21}">
  <sheetPr codeName="Sheet17"/>
  <dimension ref="A3:C7"/>
  <sheetViews>
    <sheetView workbookViewId="0">
      <selection activeCell="A10" sqref="A10"/>
    </sheetView>
  </sheetViews>
  <sheetFormatPr defaultRowHeight="14.5" x14ac:dyDescent="0.35"/>
  <cols>
    <col min="1" max="1" width="19.36328125" bestFit="1" customWidth="1"/>
    <col min="2" max="2" width="23.81640625" bestFit="1" customWidth="1"/>
    <col min="3" max="3" width="17.7265625" bestFit="1" customWidth="1"/>
  </cols>
  <sheetData>
    <row r="3" spans="1:3" x14ac:dyDescent="0.35">
      <c r="A3" s="7" t="s">
        <v>135</v>
      </c>
      <c r="B3" t="s">
        <v>133</v>
      </c>
      <c r="C3" t="s">
        <v>134</v>
      </c>
    </row>
    <row r="4" spans="1:3" x14ac:dyDescent="0.35">
      <c r="A4" s="8" t="s">
        <v>29</v>
      </c>
      <c r="B4">
        <v>3.7612903225806478</v>
      </c>
      <c r="C4" s="2">
        <v>0.48317809166416514</v>
      </c>
    </row>
    <row r="5" spans="1:3" x14ac:dyDescent="0.35">
      <c r="A5" s="8" t="s">
        <v>20</v>
      </c>
      <c r="B5">
        <v>3.8611111111111112</v>
      </c>
      <c r="C5" s="2">
        <v>7.227592305560436E-2</v>
      </c>
    </row>
    <row r="6" spans="1:3" x14ac:dyDescent="0.35">
      <c r="A6" s="8" t="s">
        <v>14</v>
      </c>
      <c r="B6">
        <v>4.1718750000000009</v>
      </c>
      <c r="C6" s="2">
        <v>0.30818155449324991</v>
      </c>
    </row>
    <row r="7" spans="1:3" x14ac:dyDescent="0.35">
      <c r="A7" s="8" t="s">
        <v>132</v>
      </c>
      <c r="B7">
        <v>3.8946428571428551</v>
      </c>
      <c r="C7" s="2">
        <v>0.36714123251752789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1E1B4-D658-46F9-8555-C9BD8DC9E0B6}">
  <sheetPr codeName="Sheet18"/>
  <dimension ref="A3:B27"/>
  <sheetViews>
    <sheetView workbookViewId="0">
      <selection activeCell="L8" sqref="L8"/>
    </sheetView>
  </sheetViews>
  <sheetFormatPr defaultRowHeight="14.5" x14ac:dyDescent="0.35"/>
  <cols>
    <col min="1" max="1" width="12.36328125" bestFit="1" customWidth="1"/>
    <col min="2" max="2" width="17.36328125" bestFit="1" customWidth="1"/>
  </cols>
  <sheetData>
    <row r="3" spans="1:2" x14ac:dyDescent="0.35">
      <c r="A3" s="7" t="s">
        <v>131</v>
      </c>
      <c r="B3" t="s">
        <v>137</v>
      </c>
    </row>
    <row r="4" spans="1:2" x14ac:dyDescent="0.35">
      <c r="A4" s="8">
        <v>2</v>
      </c>
      <c r="B4">
        <v>1</v>
      </c>
    </row>
    <row r="5" spans="1:2" x14ac:dyDescent="0.35">
      <c r="A5" s="8">
        <v>2.1</v>
      </c>
      <c r="B5">
        <v>20</v>
      </c>
    </row>
    <row r="6" spans="1:2" x14ac:dyDescent="0.35">
      <c r="A6" s="8">
        <v>2.2000000000000002</v>
      </c>
      <c r="B6">
        <v>12</v>
      </c>
    </row>
    <row r="7" spans="1:2" x14ac:dyDescent="0.35">
      <c r="A7" s="8">
        <v>2.2999999999999998</v>
      </c>
      <c r="B7">
        <v>13</v>
      </c>
    </row>
    <row r="8" spans="1:2" x14ac:dyDescent="0.35">
      <c r="A8" s="8">
        <v>2.5</v>
      </c>
      <c r="B8">
        <v>6</v>
      </c>
    </row>
    <row r="9" spans="1:2" x14ac:dyDescent="0.35">
      <c r="A9" s="8">
        <v>2.6</v>
      </c>
      <c r="B9">
        <v>17</v>
      </c>
    </row>
    <row r="10" spans="1:2" x14ac:dyDescent="0.35">
      <c r="A10" s="8">
        <v>2.7</v>
      </c>
      <c r="B10">
        <v>15</v>
      </c>
    </row>
    <row r="11" spans="1:2" x14ac:dyDescent="0.35">
      <c r="A11" s="8">
        <v>2.8</v>
      </c>
      <c r="B11">
        <v>69</v>
      </c>
    </row>
    <row r="12" spans="1:2" x14ac:dyDescent="0.35">
      <c r="A12" s="8">
        <v>2.9</v>
      </c>
      <c r="B12">
        <v>16</v>
      </c>
    </row>
    <row r="13" spans="1:2" x14ac:dyDescent="0.35">
      <c r="A13" s="8">
        <v>3</v>
      </c>
      <c r="B13">
        <v>26</v>
      </c>
    </row>
    <row r="14" spans="1:2" x14ac:dyDescent="0.35">
      <c r="A14" s="8">
        <v>3.3</v>
      </c>
      <c r="B14">
        <v>13</v>
      </c>
    </row>
    <row r="15" spans="1:2" x14ac:dyDescent="0.35">
      <c r="A15" s="8">
        <v>3.8</v>
      </c>
      <c r="B15">
        <v>30</v>
      </c>
    </row>
    <row r="16" spans="1:2" x14ac:dyDescent="0.35">
      <c r="A16" s="8">
        <v>3.9</v>
      </c>
      <c r="B16">
        <v>0</v>
      </c>
    </row>
    <row r="17" spans="1:2" x14ac:dyDescent="0.35">
      <c r="A17" s="8">
        <v>4</v>
      </c>
      <c r="B17">
        <v>24</v>
      </c>
    </row>
    <row r="18" spans="1:2" x14ac:dyDescent="0.35">
      <c r="A18" s="8">
        <v>4.0999999999999996</v>
      </c>
      <c r="B18">
        <v>46</v>
      </c>
    </row>
    <row r="19" spans="1:2" x14ac:dyDescent="0.35">
      <c r="A19" s="8">
        <v>4.2</v>
      </c>
      <c r="B19">
        <v>9</v>
      </c>
    </row>
    <row r="20" spans="1:2" x14ac:dyDescent="0.35">
      <c r="A20" s="8">
        <v>4.3</v>
      </c>
      <c r="B20">
        <v>61</v>
      </c>
    </row>
    <row r="21" spans="1:2" x14ac:dyDescent="0.35">
      <c r="A21" s="8">
        <v>4.4000000000000004</v>
      </c>
      <c r="B21">
        <v>14</v>
      </c>
    </row>
    <row r="22" spans="1:2" x14ac:dyDescent="0.35">
      <c r="A22" s="8">
        <v>4.5</v>
      </c>
      <c r="B22">
        <v>42</v>
      </c>
    </row>
    <row r="23" spans="1:2" x14ac:dyDescent="0.35">
      <c r="A23" s="8">
        <v>4.5999999999999996</v>
      </c>
      <c r="B23">
        <v>177</v>
      </c>
    </row>
    <row r="24" spans="1:2" x14ac:dyDescent="0.35">
      <c r="A24" s="8">
        <v>4.7</v>
      </c>
      <c r="B24">
        <v>78</v>
      </c>
    </row>
    <row r="25" spans="1:2" x14ac:dyDescent="0.35">
      <c r="A25" s="8">
        <v>4.8</v>
      </c>
      <c r="B25">
        <v>22</v>
      </c>
    </row>
    <row r="26" spans="1:2" x14ac:dyDescent="0.35">
      <c r="A26" s="8">
        <v>5</v>
      </c>
      <c r="B26">
        <v>12</v>
      </c>
    </row>
    <row r="27" spans="1:2" x14ac:dyDescent="0.35">
      <c r="A27" s="8" t="s">
        <v>132</v>
      </c>
      <c r="B27">
        <v>723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Top Products By Rating</vt:lpstr>
      <vt:lpstr>Top Product By Reviews</vt:lpstr>
      <vt:lpstr>Top Product By Discount</vt:lpstr>
      <vt:lpstr>Reviews By Discount</vt:lpstr>
      <vt:lpstr>Number of Revie By Rating</vt:lpstr>
      <vt:lpstr>Number of Products By Rating</vt:lpstr>
      <vt:lpstr>Product Count By discount Categ</vt:lpstr>
      <vt:lpstr>Price Category</vt:lpstr>
      <vt:lpstr>Data Clean</vt:lpstr>
      <vt:lpstr>Assignment 2</vt:lpstr>
      <vt:lpstr>Customer Engagement by DL</vt:lpstr>
      <vt:lpstr>Rating By Review</vt:lpstr>
      <vt:lpstr>High and Low Discount Products</vt:lpstr>
      <vt:lpstr>Reviews Per Discount %</vt:lpstr>
      <vt:lpstr>Product Distribution Across ctg</vt:lpstr>
      <vt:lpstr>Average Rating&amp;Discount By DC</vt:lpstr>
      <vt:lpstr>No. of Reviews By rating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Robert Njuguna</cp:lastModifiedBy>
  <dcterms:created xsi:type="dcterms:W3CDTF">2026-01-28T13:47:56Z</dcterms:created>
  <dcterms:modified xsi:type="dcterms:W3CDTF">2026-01-31T12:04:00Z</dcterms:modified>
</cp:coreProperties>
</file>